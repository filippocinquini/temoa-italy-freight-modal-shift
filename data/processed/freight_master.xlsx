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00_Index" sheetId="1" state="visible" r:id="rId3"/>
    <sheet name="⚖️ 01_Metodologia" sheetId="2" state="visible" r:id="rId4"/>
    <sheet name="📚 02_Fonti" sheetId="3" state="visible" r:id="rId5"/>
    <sheet name="🔥 03_Params_LHV_CO2" sheetId="4" state="visible" r:id="rId6"/>
    <sheet name="⚙️ 04_LoadFactors" sheetId="5" state="visible" r:id="rId7"/>
    <sheet name="📊 05_JRC_Road_Hist" sheetId="6" state="visible" r:id="rId8"/>
    <sheet name="📐 06_Eurostat_Dist_Hist" sheetId="7" state="visible" r:id="rId9"/>
    <sheet name="🚂 07_Rail_Hist" sheetId="8" state="visible" r:id="rId10"/>
    <sheet name="🚢 08_Maritime_Data" sheetId="9" state="visible" r:id="rId11"/>
    <sheet name="🚛 09_Road_Eff_Master" sheetId="10" state="visible" r:id="rId12"/>
    <sheet name="⚓ 10_Maritime_Eff_Master" sheetId="11" state="visible" r:id="rId13"/>
    <sheet name="🗄️ 11_TEMOA_Ready" sheetId="12" state="visible" r:id="rId14"/>
    <sheet name="✅ 12_Validazione_DB" sheetId="13" state="visible" r:id="rId15"/>
    <sheet name="❓ 13_Domande_Prof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<sst xmlns="http://schemas.openxmlformats.org/spreadsheetml/2006/main" count="1800" uniqueCount="1094">
  <si>
    <t xml:space="preserve">TEMOA-Italy · FREIGHT MASTER DATABASE — consolidated workbook</t>
  </si>
  <si>
    <t xml:space="preserve">Progetto: Decarbonisation of Italian Freight Transport · MAHTEP · PoliTo AY 2024/2025</t>
  </si>
  <si>
    <t xml:space="preserve">Anchor energetico: Eurostat nrg_bal_c 2022 | Anchor attività: JRC-IDEES 2023 + Eurostat road_go_ta_dc | Ref. DB: Transport.sql MAHTEP</t>
  </si>
  <si>
    <t xml:space="preserve">#</t>
  </si>
  <si>
    <t xml:space="preserve">Foglio</t>
  </si>
  <si>
    <t xml:space="preserve">Contenuto</t>
  </si>
  <si>
    <t xml:space="preserve">Categoria</t>
  </si>
  <si>
    <t xml:space="preserve">Stato</t>
  </si>
  <si>
    <t xml:space="preserve">📋 00_Index</t>
  </si>
  <si>
    <t xml:space="preserve">Navigazione + roadmap + KPI risultati</t>
  </si>
  <si>
    <t xml:space="preserve">Meta</t>
  </si>
  <si>
    <t xml:space="preserve">✓</t>
  </si>
  <si>
    <t xml:space="preserve">⚖️ 01_Metodologia</t>
  </si>
  <si>
    <t xml:space="preserve">Energy-backward: eff = Vkm/Energia · catena conversioni · ipotesi</t>
  </si>
  <si>
    <t xml:space="preserve">📚 02_Fonti</t>
  </si>
  <si>
    <t xml:space="preserve">Dataset Eurostat/JRC/ISTAT + letteratura IMO/DNV/ICCT/T&amp;E + URL/DOI</t>
  </si>
  <si>
    <t xml:space="preserve">🔥 03_Params_LHV_CO2</t>
  </si>
  <si>
    <t xml:space="preserve">LHV combustibili · fattori emissivi · densità · parametri operativi</t>
  </si>
  <si>
    <t xml:space="preserve">Parametri</t>
  </si>
  <si>
    <t xml:space="preserve">⚙️ 04_LoadFactors</t>
  </si>
  <si>
    <t xml:space="preserve">Load factor per modo/classe distanza · calibrazione da JRC/Eurostat</t>
  </si>
  <si>
    <t xml:space="preserve">📊 05_JRC_Road_Hist</t>
  </si>
  <si>
    <t xml:space="preserve">JRC-IDEES 2006-2023: VKM/TKM/ktoe/MJ per tkm (LCV+HGV dom/intl)</t>
  </si>
  <si>
    <t xml:space="preserve">Storico</t>
  </si>
  <si>
    <t xml:space="preserve">📐 06_Eurostat_Dist_Hist</t>
  </si>
  <si>
    <t xml:space="preserve">road_go_ta_dc 2006-2024: tkm/vkm/t per classe distanza</t>
  </si>
  <si>
    <t xml:space="preserve">🚂 07_Rail_Hist</t>
  </si>
  <si>
    <t xml:space="preserve">rail_tf_trainmv_Bvkm 2006-2024: train·km totali + merci</t>
  </si>
  <si>
    <t xml:space="preserve">🚢 08_Maritime_Data</t>
  </si>
  <si>
    <t xml:space="preserve">Nav domestica: energia Eurostat, vkm JRC, KPI porti 2024, stima tkm per rotta</t>
  </si>
  <si>
    <t xml:space="preserve">🚛 09_Road_Eff_Master</t>
  </si>
  <si>
    <t xml:space="preserve">Master: 5 fasce × 10 tech (LCV+HGV) in MJ/tkm E in Bvkm/PJ</t>
  </si>
  <si>
    <t xml:space="preserve">OUTPUT TEMOA</t>
  </si>
  <si>
    <t xml:space="preserve">⚓ 10_Maritime_Eff_Master</t>
  </si>
  <si>
    <t xml:space="preserve">Per-fuel HFO/DST/LNG/MET/AMM/H2L/DUAL — 2 calibrazioni (Eurostat, JRC)</t>
  </si>
  <si>
    <t xml:space="preserve">🗄️ 11_TEMOA_Ready</t>
  </si>
  <si>
    <t xml:space="preserve">Righe Efficiency pronte per INSERT + UPDATE SQL coordinati</t>
  </si>
  <si>
    <t xml:space="preserve">SQL-ready</t>
  </si>
  <si>
    <t xml:space="preserve">✅ 12_Validazione_DB</t>
  </si>
  <si>
    <t xml:space="preserve">Gap analysis Transport.sql vs valori calcolati · azioni proposte</t>
  </si>
  <si>
    <t xml:space="preserve">Verifica</t>
  </si>
  <si>
    <t xml:space="preserve">❓ 13_Domande_Prof</t>
  </si>
  <si>
    <t xml:space="preserve">Questioni aperte da risolvere col docente prima dell'implementazione</t>
  </si>
  <si>
    <t xml:space="preserve">🎯 KPI — RISULTATI CHIAVE DEL CALIBRATION WORK</t>
  </si>
  <si>
    <t xml:space="preserve">Tecnologia</t>
  </si>
  <si>
    <t xml:space="preserve">Valore calcolato [Bvkm/PJ]</t>
  </si>
  <si>
    <t xml:space="preserve">Valore DB Transport.sql</t>
  </si>
  <si>
    <t xml:space="preserve">Gap (calc/DB)</t>
  </si>
  <si>
    <t xml:space="preserve">Raccomandazione</t>
  </si>
  <si>
    <t xml:space="preserve">LCV Diesel (151-300 km)</t>
  </si>
  <si>
    <t xml:space="preserve">≈OK nel MJ/tkm</t>
  </si>
  <si>
    <t xml:space="preserve">DB ha granularità minore</t>
  </si>
  <si>
    <t xml:space="preserve">HGV Diesel base (Eurostat anchor)</t>
  </si>
  <si>
    <t xml:space="preserve">1.08×</t>
  </si>
  <si>
    <t xml:space="preserve">OK — gap &lt;10%</t>
  </si>
  <si>
    <t xml:space="preserve">Nav fleet 2022 (Eurostat anchor)</t>
  </si>
  <si>
    <t xml:space="preserve">15.4×</t>
  </si>
  <si>
    <t xml:space="preserve">⚠️ Rivedere con prof — vedi foglio 12</t>
  </si>
  <si>
    <t xml:space="preserve">Nav HFO per-fuel (Eurostat)</t>
  </si>
  <si>
    <t xml:space="preserve">16.1×</t>
  </si>
  <si>
    <t xml:space="preserve">⚠️ Rivedere con prof</t>
  </si>
  <si>
    <t xml:space="preserve">Nav LNG per-fuel (Eurostat)</t>
  </si>
  <si>
    <t xml:space="preserve">33.7×</t>
  </si>
  <si>
    <t xml:space="preserve">Rail Freight DST 2006</t>
  </si>
  <si>
    <t xml:space="preserve">2.5×</t>
  </si>
  <si>
    <t xml:space="preserve">⚠️ Chiedere calibrazione al prof</t>
  </si>
  <si>
    <t xml:space="preserve">Ultimo aggiornamento: Aprile 2026 · Preparato per: review col docente prima implementazione SQL</t>
  </si>
  <si>
    <t xml:space="preserve">METODOLOGIA — ENERGY-BACKWARD · FORMULAZIONE TEMOA</t>
  </si>
  <si>
    <t xml:space="preserve">PRINCIPIO</t>
  </si>
  <si>
    <t xml:space="preserve">In TEMOA la demand per tecnologie di trasporto è espressa in Bvkm (billion vehicle-km). Per ogni tech con input energetico in PJ, vale:  Demand × (1/efficiency) = Energia.  Dunque efficiency = Activity / Energia = [Bvkm / PJ] = [vkm / MJ].  Calibriamo partendo dai dati ENERGETICI Eurostat e di ATTIVITÀ JRC/Eurostat — approccio 'energy-backward'.</t>
  </si>
  <si>
    <t xml:space="preserve">CATENA DI CALCOLO</t>
  </si>
  <si>
    <t xml:space="preserve">Step</t>
  </si>
  <si>
    <t xml:space="preserve">Operazione</t>
  </si>
  <si>
    <t xml:space="preserve">Unità</t>
  </si>
  <si>
    <t xml:space="preserve">Esempio HGV 2022</t>
  </si>
  <si>
    <t xml:space="preserve">Esempio Nav 2022</t>
  </si>
  <si>
    <t xml:space="preserve">Fonte</t>
  </si>
  <si>
    <t xml:space="preserve">①</t>
  </si>
  <si>
    <t xml:space="preserve">Raccogli Energia settoriale</t>
  </si>
  <si>
    <t xml:space="preserve">[PJ]</t>
  </si>
  <si>
    <t xml:space="preserve">HDV IT 2022 = 230.4</t>
  </si>
  <si>
    <t xml:space="preserve">Nav dom 2022 = 8.7</t>
  </si>
  <si>
    <t xml:space="preserve">Eurostat nrg_bal_c</t>
  </si>
  <si>
    <t xml:space="preserve">②</t>
  </si>
  <si>
    <t xml:space="preserve">Raccogli Vehicle-km</t>
  </si>
  <si>
    <t xml:space="preserve">[Bvkm]</t>
  </si>
  <si>
    <t xml:space="preserve">HGV IT 2022 = 10.973</t>
  </si>
  <si>
    <t xml:space="preserve">Nav 2022 = 0.02296</t>
  </si>
  <si>
    <t xml:space="preserve">JRC-IDEES 2023</t>
  </si>
  <si>
    <t xml:space="preserve">③</t>
  </si>
  <si>
    <t xml:space="preserve">Efficiency = Vkm / Energia</t>
  </si>
  <si>
    <t xml:space="preserve">[Bvkm/PJ]</t>
  </si>
  <si>
    <t xml:space="preserve">10.973 / 230.4 = 0.0476</t>
  </si>
  <si>
    <t xml:space="preserve">0.02296/8.7 = 0.002639</t>
  </si>
  <si>
    <t xml:space="preserve">calcolo</t>
  </si>
  <si>
    <t xml:space="preserve">④</t>
  </si>
  <si>
    <t xml:space="preserve">Fattore correzione distanza (solo road)</t>
  </si>
  <si>
    <t xml:space="preserve">[-]</t>
  </si>
  <si>
    <t xml:space="preserve">&lt;50: ×1.6 | &gt;500: ×0.75</t>
  </si>
  <si>
    <t xml:space="preserve">n/a</t>
  </si>
  <si>
    <t xml:space="preserve">Eurostat road_go_ta_dc</t>
  </si>
  <si>
    <t xml:space="preserve">⑤</t>
  </si>
  <si>
    <t xml:space="preserve">Fattore correzione tecnologia</t>
  </si>
  <si>
    <t xml:space="preserve">LNG×0.93 | BEV×0.32 | FCEV×0.45</t>
  </si>
  <si>
    <t xml:space="preserve">SFC per fuel (step ⑥)</t>
  </si>
  <si>
    <t xml:space="preserve">ICCT/VECTO/EcoTransIT</t>
  </si>
  <si>
    <t xml:space="preserve">⑥</t>
  </si>
  <si>
    <t xml:space="preserve">Per nave: SFC per fuel da letteratura</t>
  </si>
  <si>
    <t xml:space="preserve">[g/kWh]</t>
  </si>
  <si>
    <t xml:space="preserve">HFO 195 | LNG 150 | MET 400</t>
  </si>
  <si>
    <t xml:space="preserve">IMO 4th GHG / DNV 2024</t>
  </si>
  <si>
    <t xml:space="preserve">⑦</t>
  </si>
  <si>
    <t xml:space="preserve">Per nave: calibra shaft-power flotta</t>
  </si>
  <si>
    <t xml:space="preserve">[kWh/vkm]</t>
  </si>
  <si>
    <t xml:space="preserve">46.3 kWh/vkm (Eurostat)</t>
  </si>
  <si>
    <t xml:space="preserve">back-calc da step ③</t>
  </si>
  <si>
    <t xml:space="preserve">⑧</t>
  </si>
  <si>
    <t xml:space="preserve">Output finale TEMOA</t>
  </si>
  <si>
    <t xml:space="preserve">0.0476 → Efficiency row</t>
  </si>
  <si>
    <t xml:space="preserve">2.639e-3 → UPDATE DB</t>
  </si>
  <si>
    <t xml:space="preserve">copy→TEMOA_Ready</t>
  </si>
  <si>
    <t xml:space="preserve">DIMENSIONALITÀ — PERCHÉ NON SERVONO FATTORI ×1000</t>
  </si>
  <si>
    <t xml:space="preserve">1 Bvkm = 10⁹ vkm    |    1 PJ = 10⁹ MJ    →    1 Bvkm/PJ = 1 vkm/MJ
E [MJ/tkm] × LF [t/veh] = MJ/vkm   (dimensionalmente OK)
Dunque efficiency [Bvkm/PJ] = 1 / (MJ/vkm) = 1 / (E[MJ/tkm] × LF[t/veh])    SENZA ×1000 parassiti
⚠️ NOTA: il primo file freight_efficiency_TEMOA_Italy v1 conteneva un ×10³ errato che produceva valori 1000× più piccoli. Questa versione master usa la formulazione corretta già applicata in Bvkm_PJ sheet v2 e TEMOA_Efficiency_FINAL_1.</t>
  </si>
  <si>
    <t xml:space="preserve">CONVERSIONI UNITÀ CHIAVE</t>
  </si>
  <si>
    <t xml:space="preserve">1 kgoe</t>
  </si>
  <si>
    <t xml:space="preserve">=</t>
  </si>
  <si>
    <t xml:space="preserve">41.868 MJ</t>
  </si>
  <si>
    <t xml:space="preserve">Standard IEA</t>
  </si>
  <si>
    <t xml:space="preserve">1 ktoe</t>
  </si>
  <si>
    <t xml:space="preserve">41,868 MJ = 41.868 GJ = 0.041868 PJ</t>
  </si>
  <si>
    <t xml:space="preserve">1000 × kgoe</t>
  </si>
  <si>
    <t xml:space="preserve">1 Mtoe</t>
  </si>
  <si>
    <t xml:space="preserve">41.868 PJ</t>
  </si>
  <si>
    <t xml:space="preserve">10⁶ × ktoe</t>
  </si>
  <si>
    <t xml:space="preserve">1 kgoe/ktkm</t>
  </si>
  <si>
    <t xml:space="preserve">0.041868 MJ/tkm</t>
  </si>
  <si>
    <t xml:space="preserve">kgoe_in_MJ / 1000_tkm</t>
  </si>
  <si>
    <t xml:space="preserve">1 MJ/tkm</t>
  </si>
  <si>
    <t xml:space="preserve">23.88 kgoe/ktkm</t>
  </si>
  <si>
    <t xml:space="preserve">1 / 0.041868</t>
  </si>
  <si>
    <t xml:space="preserve">1 Bvkm/PJ</t>
  </si>
  <si>
    <t xml:space="preserve">1 vkm/MJ</t>
  </si>
  <si>
    <t xml:space="preserve">cf. dimensional analysis</t>
  </si>
  <si>
    <t xml:space="preserve">efficiency [Bvkm/PJ]</t>
  </si>
  <si>
    <t xml:space="preserve">1 / (E[MJ/tkm] × LF[t/veh])</t>
  </si>
  <si>
    <t xml:space="preserve">formula operativa</t>
  </si>
  <si>
    <t xml:space="preserve">1 MJ/tkm → Mtoe/Mtkm</t>
  </si>
  <si>
    <t xml:space="preserve">× 2.388×10⁻⁸</t>
  </si>
  <si>
    <t xml:space="preserve">per input TEMOA originale</t>
  </si>
  <si>
    <t xml:space="preserve">FONTI DATI — ISTITUZIONALI + PEER-REVIEWED + INDUSTRIA</t>
  </si>
  <si>
    <t xml:space="preserve">🇪🇺 DATASET EUROSTAT (API REST)</t>
  </si>
  <si>
    <t xml:space="preserve">Codice</t>
  </si>
  <si>
    <t xml:space="preserve">Filtro</t>
  </si>
  <si>
    <t xml:space="preserve">URL</t>
  </si>
  <si>
    <t xml:space="preserve">nrg_bal_c</t>
  </si>
  <si>
    <t xml:space="preserve">Bilancio energetico (consumo finale trasporti)</t>
  </si>
  <si>
    <t xml:space="preserve">TJ, ktoe, GWh</t>
  </si>
  <si>
    <t xml:space="preserve">geo=IT, year=2022</t>
  </si>
  <si>
    <t xml:space="preserve">https://ec.europa.eu/eurostat/databrowser/view/nrg_bal_c</t>
  </si>
  <si>
    <t xml:space="preserve">road_go_ta_dc</t>
  </si>
  <si>
    <t xml:space="preserve">Gomma per classe di distanza</t>
  </si>
  <si>
    <t xml:space="preserve">tkm, vkm, t</t>
  </si>
  <si>
    <t xml:space="preserve">geo=IT, 2006-2024</t>
  </si>
  <si>
    <t xml:space="preserve">https://ec.europa.eu/eurostat/databrowser/view/road_go_ta_dc</t>
  </si>
  <si>
    <t xml:space="preserve">road_go_ta_tott</t>
  </si>
  <si>
    <t xml:space="preserve">Gomma per tipo operazione</t>
  </si>
  <si>
    <t xml:space="preserve">tkm, vkm</t>
  </si>
  <si>
    <t xml:space="preserve">geo=IT</t>
  </si>
  <si>
    <t xml:space="preserve">https://ec.europa.eu/eurostat/databrowser/view/road_go_ta_tott</t>
  </si>
  <si>
    <t xml:space="preserve">road_go_ta_tg</t>
  </si>
  <si>
    <t xml:space="preserve">Gomma per categoria merceologica NST 2007</t>
  </si>
  <si>
    <t xml:space="preserve">tkm, t</t>
  </si>
  <si>
    <t xml:space="preserve">https://ec.europa.eu/eurostat/databrowser/view/road_go_ta_tg</t>
  </si>
  <si>
    <t xml:space="preserve">rail_tf_trainmv</t>
  </si>
  <si>
    <t xml:space="preserve">Ferro: performance treni per categoria</t>
  </si>
  <si>
    <t xml:space="preserve">1000 train-km</t>
  </si>
  <si>
    <t xml:space="preserve">https://ec.europa.eu/eurostat/databrowser/view/rail_tf_trainmv</t>
  </si>
  <si>
    <t xml:space="preserve">rail_go_grpgood</t>
  </si>
  <si>
    <t xml:space="preserve">Ferro: per categoria merceologica</t>
  </si>
  <si>
    <t xml:space="preserve">t, tkm</t>
  </si>
  <si>
    <t xml:space="preserve">https://ec.europa.eu/eurostat/databrowser/view/rail_go_grpgood</t>
  </si>
  <si>
    <t xml:space="preserve">rail_go_typeop</t>
  </si>
  <si>
    <t xml:space="preserve">Ferro: per tipo operazione</t>
  </si>
  <si>
    <t xml:space="preserve">https://ec.europa.eu/eurostat/databrowser/view/rail_go_typeop</t>
  </si>
  <si>
    <t xml:space="preserve">mar_sg_am_cw</t>
  </si>
  <si>
    <t xml:space="preserve">Marittimo: tonnellate per porto</t>
  </si>
  <si>
    <t xml:space="preserve">t</t>
  </si>
  <si>
    <t xml:space="preserve">geo=IT00 (porto ITxxx)</t>
  </si>
  <si>
    <t xml:space="preserve">https://ec.europa.eu/eurostat/databrowser/view/mar_sg_am_cw</t>
  </si>
  <si>
    <t xml:space="preserve">mar_go_am_it</t>
  </si>
  <si>
    <t xml:space="preserve">Marittimo Italia: dettaglio cabotaggio</t>
  </si>
  <si>
    <t xml:space="preserve">https://ec.europa.eu/eurostat/databrowser/view/mar_go_am_it</t>
  </si>
  <si>
    <t xml:space="preserve">tran_hv_ms_frmod</t>
  </si>
  <si>
    <t xml:space="preserve">Quote modali freight EU</t>
  </si>
  <si>
    <t xml:space="preserve">% tkm</t>
  </si>
  <si>
    <t xml:space="preserve">https://ec.europa.eu/eurostat/databrowser/view/tran_hv_ms_frmod</t>
  </si>
  <si>
    <t xml:space="preserve">🇮🇹 FONTI PRIMARIE ITALIANE</t>
  </si>
  <si>
    <t xml:space="preserve">Report/Dataset</t>
  </si>
  <si>
    <t xml:space="preserve">Aggiornamento</t>
  </si>
  <si>
    <t xml:space="preserve">ISTAT</t>
  </si>
  <si>
    <t xml:space="preserve">Statistica Focus — Trasporto merci strada/ferrovia (feb.2026)</t>
  </si>
  <si>
    <t xml:space="preserve">Tonnellate, tkm, composizione merceologica 2024</t>
  </si>
  <si>
    <t xml:space="preserve">Annuale (feb)</t>
  </si>
  <si>
    <t xml:space="preserve">https://www.istat.it</t>
  </si>
  <si>
    <t xml:space="preserve">Trasporto marittimo in Italia 2024 (feb.2026)</t>
  </si>
  <si>
    <t xml:space="preserve">Approdi, tonnellate/porto, cabotaggio vs int.le, stazza</t>
  </si>
  <si>
    <t xml:space="preserve">ISPRA</t>
  </si>
  <si>
    <t xml:space="preserve">Indicatori ambientali — Domanda e intensità freight</t>
  </si>
  <si>
    <t xml:space="preserve">Totale tkm tutti i modi 1990–, quote modali</t>
  </si>
  <si>
    <t xml:space="preserve">Annuale</t>
  </si>
  <si>
    <t xml:space="preserve">https://www.isprambiente.it</t>
  </si>
  <si>
    <t xml:space="preserve">MIT</t>
  </si>
  <si>
    <t xml:space="preserve">Conto Nazionale dei Trasporti (CNT)</t>
  </si>
  <si>
    <t xml:space="preserve">Dati ufficiali tkm, vkm, infrastrutture</t>
  </si>
  <si>
    <t xml:space="preserve">https://www.mit.gov.it</t>
  </si>
  <si>
    <t xml:space="preserve">RFI</t>
  </si>
  <si>
    <t xml:space="preserve">Prospetto Informativo della Rete (PIR) 2024</t>
  </si>
  <si>
    <t xml:space="preserve">Capacità freight per corridoio, elettrificazione</t>
  </si>
  <si>
    <t xml:space="preserve">https://www.rfi.it</t>
  </si>
  <si>
    <t xml:space="preserve">Banca d'Italia</t>
  </si>
  <si>
    <t xml:space="preserve">Indagine Trasporti Internazionali Merci (ITM)</t>
  </si>
  <si>
    <t xml:space="preserve">Costi trasporto per modalità, quote vettori</t>
  </si>
  <si>
    <t xml:space="preserve">Annuale (giu)</t>
  </si>
  <si>
    <t xml:space="preserve">https://www.bancaditalia.it</t>
  </si>
  <si>
    <t xml:space="preserve">Assoporti</t>
  </si>
  <si>
    <t xml:space="preserve">Port Infographics + dati portuali annuali</t>
  </si>
  <si>
    <t xml:space="preserve">Tonnellate/porto, tipologie merce, rotte cabotaggio</t>
  </si>
  <si>
    <t xml:space="preserve">https://www.assoporti.it</t>
  </si>
  <si>
    <t xml:space="preserve">Mercitalia / FS</t>
  </si>
  <si>
    <t xml:space="preserve">Sustainability Report 2023</t>
  </si>
  <si>
    <t xml:space="preserve">Terminali intermodali, costi, throughput rail-road</t>
  </si>
  <si>
    <t xml:space="preserve">https://www.mercitaliagroup.com</t>
  </si>
  <si>
    <t xml:space="preserve">🔬 FONTI SCIENTIFICHE / INDUSTRIA</t>
  </si>
  <si>
    <t xml:space="preserve">Tipo</t>
  </si>
  <si>
    <t xml:space="preserve">Anno</t>
  </si>
  <si>
    <t xml:space="preserve">DOI/URL</t>
  </si>
  <si>
    <t xml:space="preserve">JRC-IDEES</t>
  </si>
  <si>
    <t xml:space="preserve">EU database</t>
  </si>
  <si>
    <t xml:space="preserve">Italy Transport Freight 2006-2023: vkm/tkm/ktoe/MJ</t>
  </si>
  <si>
    <t xml:space="preserve">2023</t>
  </si>
  <si>
    <t xml:space="preserve">https://jeodpp.jrc.ec.europa.eu/ftp/jrc-opendata/JRC-IDEES/</t>
  </si>
  <si>
    <t xml:space="preserve">EcoTransIT World</t>
  </si>
  <si>
    <t xml:space="preserve">Standard industria</t>
  </si>
  <si>
    <t xml:space="preserve">MJ/tkm e gCO₂/tkm per tutti i modi (DB Cargo, FS, Hapag)</t>
  </si>
  <si>
    <t xml:space="preserve">2024</t>
  </si>
  <si>
    <t xml:space="preserve">https://www.ecotransit.org</t>
  </si>
  <si>
    <t xml:space="preserve">ICCT</t>
  </si>
  <si>
    <t xml:space="preserve">Report tecnico</t>
  </si>
  <si>
    <t xml:space="preserve">Fuel efficiency EU HDV + HDV cost curves 2020-2050</t>
  </si>
  <si>
    <t xml:space="preserve">2019-2024</t>
  </si>
  <si>
    <t xml:space="preserve">https://theicct.org</t>
  </si>
  <si>
    <t xml:space="preserve">IEA AMF Annex 57</t>
  </si>
  <si>
    <t xml:space="preserve">Report IEA</t>
  </si>
  <si>
    <t xml:space="preserve">Efficienza motori diesel/alt HDV; EU/US/CN classifications</t>
  </si>
  <si>
    <t xml:space="preserve">https://iea-amf.org</t>
  </si>
  <si>
    <t xml:space="preserve">IEA Global EV Outlook</t>
  </si>
  <si>
    <t xml:space="preserve">Cost curves BEV/FCEV HDV per segmento 2020-2050</t>
  </si>
  <si>
    <t xml:space="preserve">https://www.iea.org/reports/global-ev-outlook-2024</t>
  </si>
  <si>
    <t xml:space="preserve">VECTO</t>
  </si>
  <si>
    <t xml:space="preserve">Regulatory tool</t>
  </si>
  <si>
    <t xml:space="preserve">WHTC/WHDC cycles HDV — EU DG GROW</t>
  </si>
  <si>
    <t xml:space="preserve">ongoing</t>
  </si>
  <si>
    <t xml:space="preserve">https://ec.europa.eu/clima/policies/transport/vehicles/heavy_en</t>
  </si>
  <si>
    <t xml:space="preserve">IMO 4th GHG Study</t>
  </si>
  <si>
    <t xml:space="preserve">Normativa IMO</t>
  </si>
  <si>
    <t xml:space="preserve">SFC motori marini Tab. 21; EEDI/EEXI/CII; target -50%</t>
  </si>
  <si>
    <t xml:space="preserve">2020/2023</t>
  </si>
  <si>
    <t xml:space="preserve">https://www.imo.org</t>
  </si>
  <si>
    <t xml:space="preserve">DNV Maritime Forecast 2050</t>
  </si>
  <si>
    <t xml:space="preserve">Report industria</t>
  </si>
  <si>
    <t xml:space="preserve">LNG/MET/AMM/H2L: CAPEX, maturity, commercial uptake</t>
  </si>
  <si>
    <t xml:space="preserve">2023/2024</t>
  </si>
  <si>
    <t xml:space="preserve">https://www.dnv.com</t>
  </si>
  <si>
    <t xml:space="preserve">T&amp;E Transport&amp;Env.</t>
  </si>
  <si>
    <t xml:space="preserve">NGO advocacy+tech</t>
  </si>
  <si>
    <t xml:space="preserve">LNG methane slip, methanol/H2/BEV shipping assessments</t>
  </si>
  <si>
    <t xml:space="preserve">2021-2024</t>
  </si>
  <si>
    <t xml:space="preserve">https://www.transportenvironment.org</t>
  </si>
  <si>
    <t xml:space="preserve">Frontiers Energy</t>
  </si>
  <si>
    <t xml:space="preserve">Peer-reviewed</t>
  </si>
  <si>
    <t xml:space="preserve">Trends alt fuels EU road freight 1978-2018</t>
  </si>
  <si>
    <t xml:space="preserve">2021-2022</t>
  </si>
  <si>
    <t xml:space="preserve">doi:10.3389/fenrg.2021.609077 · 10.3389/fenrg.2022.897916</t>
  </si>
  <si>
    <t xml:space="preserve">Scania</t>
  </si>
  <si>
    <t xml:space="preserve">Industry LCA</t>
  </si>
  <si>
    <t xml:space="preserve">LCA Distribution Vehicles BEV vs ICEV</t>
  </si>
  <si>
    <t xml:space="preserve">2021</t>
  </si>
  <si>
    <t xml:space="preserve">https://www.scania.com</t>
  </si>
  <si>
    <t xml:space="preserve">Argonne GREET</t>
  </si>
  <si>
    <t xml:space="preserve">Model</t>
  </si>
  <si>
    <t xml:space="preserve">Material composition per componente BEV/FCEV trucks</t>
  </si>
  <si>
    <t xml:space="preserve">https://greet.anl.gov</t>
  </si>
  <si>
    <t xml:space="preserve">Heliyon/PMC</t>
  </si>
  <si>
    <t xml:space="preserve">WTW gCO₂e/MJ MGO, LNG, MET, AMM fossil+green</t>
  </si>
  <si>
    <t xml:space="preserve">doi:10.1016/j.heliyon.2024.e26473</t>
  </si>
  <si>
    <t xml:space="preserve">UPM Madrid</t>
  </si>
  <si>
    <t xml:space="preserve">Energy Consumption CO₂ Rail and Road</t>
  </si>
  <si>
    <t xml:space="preserve">2013</t>
  </si>
  <si>
    <t xml:space="preserve">Open Access UPM</t>
  </si>
  <si>
    <t xml:space="preserve">PARAMETRI COMBUSTIBILI · LHV · FATTORI EMISSIVI · DENSITÀ</t>
  </si>
  <si>
    <t xml:space="preserve">◆ LOWER HEATING VALUE (LHV) — ENERGIA FINALE</t>
  </si>
  <si>
    <t xml:space="preserve">Combustibile</t>
  </si>
  <si>
    <t xml:space="preserve">LHV [MJ/kg]</t>
  </si>
  <si>
    <t xml:space="preserve">LHV [MJ/L]</t>
  </si>
  <si>
    <t xml:space="preserve">LHV [MJ/Nm³]</t>
  </si>
  <si>
    <t xml:space="preserve">Densità [kg/L]</t>
  </si>
  <si>
    <t xml:space="preserve">Codice TEMOA</t>
  </si>
  <si>
    <t xml:space="preserve">Note</t>
  </si>
  <si>
    <t xml:space="preserve">Gasolio diesel</t>
  </si>
  <si>
    <t xml:space="preserve">DST</t>
  </si>
  <si>
    <t xml:space="preserve">Standard EN 14214</t>
  </si>
  <si>
    <t xml:space="preserve">HFO (Heavy Fuel Oil)</t>
  </si>
  <si>
    <t xml:space="preserve">HFO</t>
  </si>
  <si>
    <t xml:space="preserve">Varia per grado (380/180 cSt)</t>
  </si>
  <si>
    <t xml:space="preserve">VLSFO (IMO 2020)</t>
  </si>
  <si>
    <t xml:space="preserve">Max zolfo 0.5%</t>
  </si>
  <si>
    <t xml:space="preserve">MGO/MDO</t>
  </si>
  <si>
    <t xml:space="preserve">Marine gas oil / marine diesel oil</t>
  </si>
  <si>
    <t xml:space="preserve">LNG</t>
  </si>
  <si>
    <t xml:space="preserve">Liquido a -162°C; MJ/L in liquido</t>
  </si>
  <si>
    <t xml:space="preserve">CNG</t>
  </si>
  <si>
    <t xml:space="preserve">Compresso 200 bar</t>
  </si>
  <si>
    <t xml:space="preserve">Bio-LNG / biometano</t>
  </si>
  <si>
    <t xml:space="preserve">BLNG</t>
  </si>
  <si>
    <t xml:space="preserve">WTW -50% → -90% CO₂</t>
  </si>
  <si>
    <t xml:space="preserve">H₂ gassoso (700 bar)</t>
  </si>
  <si>
    <t xml:space="preserve">HYDR</t>
  </si>
  <si>
    <t xml:space="preserve">LHV; HHV=142 MJ/kg</t>
  </si>
  <si>
    <t xml:space="preserve">H₂ liquido (LH₂)</t>
  </si>
  <si>
    <t xml:space="preserve">H2L</t>
  </si>
  <si>
    <t xml:space="preserve">Liquido a -253°C; usato in nav</t>
  </si>
  <si>
    <t xml:space="preserve">Metanolo</t>
  </si>
  <si>
    <t xml:space="preserve">MET</t>
  </si>
  <si>
    <t xml:space="preserve">CH₃OH; DF engines</t>
  </si>
  <si>
    <t xml:space="preserve">Ammoniaca (NH₃)</t>
  </si>
  <si>
    <t xml:space="preserve">AMM</t>
  </si>
  <si>
    <t xml:space="preserve">Liquida a -33°C</t>
  </si>
  <si>
    <t xml:space="preserve">HVO (Hydrotreated Veg. Oil)</t>
  </si>
  <si>
    <t xml:space="preserve">HVO</t>
  </si>
  <si>
    <t xml:space="preserve">Drop-in diesel</t>
  </si>
  <si>
    <t xml:space="preserve">Biodiesel (FAME)</t>
  </si>
  <si>
    <t xml:space="preserve">BIO-DST</t>
  </si>
  <si>
    <t xml:space="preserve">Mandato B7/B10 EU</t>
  </si>
  <si>
    <t xml:space="preserve">Benzina</t>
  </si>
  <si>
    <t xml:space="preserve">GSL</t>
  </si>
  <si>
    <t xml:space="preserve">Per LCV+auto</t>
  </si>
  <si>
    <t xml:space="preserve">Elettricità (energia finale)</t>
  </si>
  <si>
    <t xml:space="preserve">ELC</t>
  </si>
  <si>
    <t xml:space="preserve">1 kWh = 3.6 MJ</t>
  </si>
  <si>
    <t xml:space="preserve">◆ FATTORI EMISSIVI CO₂ — TANK-TO-WHEEL (TTW)</t>
  </si>
  <si>
    <t xml:space="preserve">kg CO₂/kg fuel</t>
  </si>
  <si>
    <t xml:space="preserve">kg CO₂/L</t>
  </si>
  <si>
    <t xml:space="preserve">gCO₂/MJ LHV</t>
  </si>
  <si>
    <t xml:space="preserve">WTW adj.</t>
  </si>
  <si>
    <t xml:space="preserve">Diesel (DST)</t>
  </si>
  <si>
    <t xml:space="preserve">IPCC 2006</t>
  </si>
  <si>
    <t xml:space="preserve">+18% WTT</t>
  </si>
  <si>
    <t xml:space="preserve">Baseline road/rail diesel</t>
  </si>
  <si>
    <t xml:space="preserve">IMO 4th</t>
  </si>
  <si>
    <t xml:space="preserve">+10% WTT</t>
  </si>
  <si>
    <t xml:space="preserve">Marino 2-stroke</t>
  </si>
  <si>
    <t xml:space="preserve">VLSFO</t>
  </si>
  <si>
    <t xml:space="preserve">Post IMO 2020</t>
  </si>
  <si>
    <t xml:space="preserve">Distillato marino</t>
  </si>
  <si>
    <t xml:space="preserve">LNG (escluso methane slip)</t>
  </si>
  <si>
    <t xml:space="preserve">IMO 4th / DNV</t>
  </si>
  <si>
    <t xml:space="preserve">+25% WTT (slip 2%)</t>
  </si>
  <si>
    <t xml:space="preserve">−20% TTW vs HFO</t>
  </si>
  <si>
    <t xml:space="preserve">+20% WTT</t>
  </si>
  <si>
    <t xml:space="preserve">Stesso LHV di LNG</t>
  </si>
  <si>
    <t xml:space="preserve">Metanolo fossile</t>
  </si>
  <si>
    <t xml:space="preserve">T&amp;E 2023</t>
  </si>
  <si>
    <t xml:space="preserve">grigio ~−0%</t>
  </si>
  <si>
    <t xml:space="preserve">CH₃OH da NG reformer</t>
  </si>
  <si>
    <t xml:space="preserve">e-metanolo (verde)</t>
  </si>
  <si>
    <t xml:space="preserve">≈0</t>
  </si>
  <si>
    <t xml:space="preserve">≈4</t>
  </si>
  <si>
    <t xml:space="preserve">WTW ≈0</t>
  </si>
  <si>
    <t xml:space="preserve">Da CO₂ + H₂ verde</t>
  </si>
  <si>
    <t xml:space="preserve">Ammoniaca (combustione)</t>
  </si>
  <si>
    <t xml:space="preserve">ICCT 2024</t>
  </si>
  <si>
    <t xml:space="preserve">dipende fonte H₂</t>
  </si>
  <si>
    <t xml:space="preserve">NH₃ → H₂O + N₂ (NOx issue)</t>
  </si>
  <si>
    <t xml:space="preserve">H₂ (combustione)</t>
  </si>
  <si>
    <t xml:space="preserve">DNV 2023</t>
  </si>
  <si>
    <t xml:space="preserve">H₂O unico prodotto</t>
  </si>
  <si>
    <t xml:space="preserve">EU RED II</t>
  </si>
  <si>
    <t xml:space="preserve">−50÷-90% WTW</t>
  </si>
  <si>
    <t xml:space="preserve">Drop-in; costo +</t>
  </si>
  <si>
    <t xml:space="preserve">−40÷-80% WTW</t>
  </si>
  <si>
    <t xml:space="preserve">Mandato UE</t>
  </si>
  <si>
    <t xml:space="preserve">Benzina (GSL)</t>
  </si>
  <si>
    <t xml:space="preserve">+21% WTT</t>
  </si>
  <si>
    <t xml:space="preserve">Per LCV petrol</t>
  </si>
  <si>
    <t xml:space="preserve">Elettricità IT 2024</t>
  </si>
  <si>
    <t xml:space="preserve">320 gCO₂/kWh</t>
  </si>
  <si>
    <t xml:space="preserve">—</t>
  </si>
  <si>
    <t xml:space="preserve">89</t>
  </si>
  <si>
    <t xml:space="preserve">ISPRA 2024</t>
  </si>
  <si>
    <t xml:space="preserve">−50% entro 2030 (PNIEC)</t>
  </si>
  <si>
    <t xml:space="preserve">era 380 nel 2015</t>
  </si>
  <si>
    <t xml:space="preserve">◆ PARAMETRI OPERATIVI (FLEET MEDIO IT)</t>
  </si>
  <si>
    <t xml:space="preserve">Parametro</t>
  </si>
  <si>
    <t xml:space="preserve">Valore</t>
  </si>
  <si>
    <t xml:space="preserve">Modo</t>
  </si>
  <si>
    <t xml:space="preserve">Year</t>
  </si>
  <si>
    <t xml:space="preserve">Load factor medio camion EU</t>
  </si>
  <si>
    <t xml:space="preserve">52-58</t>
  </si>
  <si>
    <t xml:space="preserve">% payload nominale</t>
  </si>
  <si>
    <t xml:space="preserve">Camion</t>
  </si>
  <si>
    <t xml:space="preserve">Eurostat/EcoTransIT</t>
  </si>
  <si>
    <t xml:space="preserve">Include viaggi a vuoto</t>
  </si>
  <si>
    <t xml:space="preserve">Quota km a vuoto (empty runs)</t>
  </si>
  <si>
    <t xml:space="preserve">25-30</t>
  </si>
  <si>
    <t xml:space="preserve">% vkm totali</t>
  </si>
  <si>
    <t xml:space="preserve">Più alto per &lt;50 km</t>
  </si>
  <si>
    <t xml:space="preserve">Efficienza motore diesel best-in-class</t>
  </si>
  <si>
    <t xml:space="preserve">% (crankshaft)</t>
  </si>
  <si>
    <t xml:space="preserve">Camion long-haul</t>
  </si>
  <si>
    <t xml:space="preserve">38-42% per cicli misti</t>
  </si>
  <si>
    <t xml:space="preserve">Payload autoarticolato 40t</t>
  </si>
  <si>
    <t xml:space="preserve">24-26</t>
  </si>
  <si>
    <t xml:space="preserve">t nette</t>
  </si>
  <si>
    <t xml:space="preserve">HGV artic.</t>
  </si>
  <si>
    <t xml:space="preserve">ACEA/VECTO</t>
  </si>
  <si>
    <t xml:space="preserve">Variabile per merce</t>
  </si>
  <si>
    <t xml:space="preserve">Payload rigido 18t</t>
  </si>
  <si>
    <t xml:space="preserve">10-12</t>
  </si>
  <si>
    <t xml:space="preserve">HGV rigid</t>
  </si>
  <si>
    <t xml:space="preserve">Peso netto treno merci IT</t>
  </si>
  <si>
    <t xml:space="preserve">600-1000</t>
  </si>
  <si>
    <t xml:space="preserve">Rail</t>
  </si>
  <si>
    <t xml:space="preserve">RFI/Mercitalia</t>
  </si>
  <si>
    <t xml:space="preserve">Fino a 1500 su Brennero</t>
  </si>
  <si>
    <t xml:space="preserve">Velocità media treno merci</t>
  </si>
  <si>
    <t xml:space="preserve">40-60</t>
  </si>
  <si>
    <t xml:space="preserve">km/h commerciale</t>
  </si>
  <si>
    <t xml:space="preserve">Load factor ferrovia</t>
  </si>
  <si>
    <t xml:space="preserve">55-70</t>
  </si>
  <si>
    <t xml:space="preserve">% capacità</t>
  </si>
  <si>
    <t xml:space="preserve">EcoTransIT</t>
  </si>
  <si>
    <t xml:space="preserve">Quota rete elettrificata IT</t>
  </si>
  <si>
    <t xml:space="preserve">% km</t>
  </si>
  <si>
    <t xml:space="preserve">RFI (12.170/16.848 km)</t>
  </si>
  <si>
    <t xml:space="preserve">97.6% energia elettrica</t>
  </si>
  <si>
    <t xml:space="preserve">LF Nave Ro-Ro cabotaggio</t>
  </si>
  <si>
    <t xml:space="preserve">55-75</t>
  </si>
  <si>
    <t xml:space="preserve">Maritime</t>
  </si>
  <si>
    <t xml:space="preserve">ISTAT/Assoporti</t>
  </si>
  <si>
    <t xml:space="preserve">Stagionale</t>
  </si>
  <si>
    <t xml:space="preserve">LF Nave bulk/general cargo</t>
  </si>
  <si>
    <t xml:space="preserve">70-85</t>
  </si>
  <si>
    <t xml:space="preserve">% pieno carico</t>
  </si>
  <si>
    <t xml:space="preserve">Velocità media Ro-Ro</t>
  </si>
  <si>
    <t xml:space="preserve">18-22</t>
  </si>
  <si>
    <t xml:space="preserve">nodi (33-41 km/h)</t>
  </si>
  <si>
    <t xml:space="preserve">IMO</t>
  </si>
  <si>
    <t xml:space="preserve">Stazza media nave cabotaggio IT</t>
  </si>
  <si>
    <t xml:space="preserve">GT</t>
  </si>
  <si>
    <t xml:space="preserve">−7.5% vs 2023</t>
  </si>
  <si>
    <t xml:space="preserve">Mix elettrico IT CO₂</t>
  </si>
  <si>
    <t xml:space="preserve">gCO₂/kWh</t>
  </si>
  <si>
    <t xml:space="preserve">Elettrico</t>
  </si>
  <si>
    <t xml:space="preserve">obiettivo 160 @ 2030</t>
  </si>
  <si>
    <t xml:space="preserve">LOAD FACTORS — PER MODO E CLASSE DI DISTANZA (calibrazione)</t>
  </si>
  <si>
    <t xml:space="preserve">FORMULA:  LF [t/veh] = Tkm [Mtkm] × 1000 / Vkm [Mvkm]  — da tutte le serie storiche Eurostat / JRC</t>
  </si>
  <si>
    <t xml:space="preserve">◆ ROAD — LOAD FACTOR PER CLASSE DI DISTANZA (Eurostat road_go_ta_dc avg 2019-2023)</t>
  </si>
  <si>
    <t xml:space="preserve">Fascia distanza</t>
  </si>
  <si>
    <t xml:space="preserve">LF HGV [t/veh]</t>
  </si>
  <si>
    <t xml:space="preserve">LF LCV [t/veh]</t>
  </si>
  <si>
    <t xml:space="preserve">Fattore corr. distanza HGV</t>
  </si>
  <si>
    <t xml:space="preserve">Fattore corr. LCV</t>
  </si>
  <si>
    <t xml:space="preserve">Ciclo guida</t>
  </si>
  <si>
    <t xml:space="preserve">&lt;50 km</t>
  </si>
  <si>
    <t xml:space="preserve">Urban/last-mile</t>
  </si>
  <si>
    <t xml:space="preserve">Eurostat road_go_ta_dc 2019-23</t>
  </si>
  <si>
    <t xml:space="preserve">51-150 km</t>
  </si>
  <si>
    <t xml:space="preserve">Regionale misto</t>
  </si>
  <si>
    <t xml:space="preserve">151-300 km</t>
  </si>
  <si>
    <t xml:space="preserve">Inter-regionale BASE</t>
  </si>
  <si>
    <t xml:space="preserve">301-500 km</t>
  </si>
  <si>
    <t xml:space="preserve">Lungo raggio</t>
  </si>
  <si>
    <t xml:space="preserve">&gt;500 km</t>
  </si>
  <si>
    <t xml:space="preserve">Internazionale</t>
  </si>
  <si>
    <t xml:space="preserve">MEDIA PESATA</t>
  </si>
  <si>
    <t xml:space="preserve">Fleet avg</t>
  </si>
  <si>
    <t xml:space="preserve">JRC-IDEES 2019-23</t>
  </si>
  <si>
    <t xml:space="preserve">NOTA — LF LCV: il JRC-IDEES dà un LF medio di 0.2142 t/veh (12,380.9 Mtkm / 57,805.7 Mvkm). La variazione per classe distanza LCV è STIMATA scalando con il rapporto LF_HGV_classe / LF_HGV_avg. Incertezza: ±15% HGV, ±25% LCV. Fonte raw: JRC-IDEES 2023 + Eurostat road_go_ta_dc.</t>
  </si>
  <si>
    <t xml:space="preserve">◆ RAIL — LOAD FACTOR TRENO MERCI (Eurostat + Mercitalia)</t>
  </si>
  <si>
    <t xml:space="preserve">Goods train-km IT 2024</t>
  </si>
  <si>
    <t xml:space="preserve">Bvkm</t>
  </si>
  <si>
    <t xml:space="preserve">Eurostat rail_tf_trainmv</t>
  </si>
  <si>
    <t xml:space="preserve">Mln train-km ÷ 1000</t>
  </si>
  <si>
    <t xml:space="preserve">Goods train-km IT 2023</t>
  </si>
  <si>
    <t xml:space="preserve">Goods train-km IT 2022</t>
  </si>
  <si>
    <t xml:space="preserve">Post-COVID peak</t>
  </si>
  <si>
    <t xml:space="preserve">Tkm ferro 2024</t>
  </si>
  <si>
    <t xml:space="preserve">Bvkm·tonn</t>
  </si>
  <si>
    <t xml:space="preserve">ISTAT feb.2026</t>
  </si>
  <si>
    <t xml:space="preserve">+0.9% vs 2023</t>
  </si>
  <si>
    <t xml:space="preserve">Carico medio (LF)</t>
  </si>
  <si>
    <t xml:space="preserve">~450</t>
  </si>
  <si>
    <t xml:space="preserve">t/train</t>
  </si>
  <si>
    <t xml:space="preserve">calcolato tkm/train-km</t>
  </si>
  <si>
    <t xml:space="preserve">22.9e9 / 0.051e9</t>
  </si>
  <si>
    <t xml:space="preserve">Peso netto medio treno IT</t>
  </si>
  <si>
    <t xml:space="preserve">Fino 1500 Brennero</t>
  </si>
  <si>
    <t xml:space="preserve">LF ferroviario implicito</t>
  </si>
  <si>
    <t xml:space="preserve">EcoTransIT 2024</t>
  </si>
  <si>
    <t xml:space="preserve">◆ MARITIME — LOAD FACTOR COASTAL / INLAND (JRC-IDEES 2019-23)</t>
  </si>
  <si>
    <t xml:space="preserve">Vkm [Mkm]</t>
  </si>
  <si>
    <t xml:space="preserve">Tkm [Mtkm]</t>
  </si>
  <si>
    <t xml:space="preserve">LF [t/veh]</t>
  </si>
  <si>
    <t xml:space="preserve">Nave coastal IT (avg 19-23)</t>
  </si>
  <si>
    <t xml:space="preserve">Small-med coastal 3-10 kDWT</t>
  </si>
  <si>
    <t xml:space="preserve">Nav fluviale Po</t>
  </si>
  <si>
    <t xml:space="preserve">Chiatte 1-2 kDWT</t>
  </si>
  <si>
    <t xml:space="preserve">Nav ocean-going INT (proxy)</t>
  </si>
  <si>
    <t xml:space="preserve">5000-20000</t>
  </si>
  <si>
    <t xml:space="preserve">Clarksons, EMSA 2023</t>
  </si>
  <si>
    <t xml:space="preserve">Bulk/container &gt;10 kDWT</t>
  </si>
  <si>
    <t xml:space="preserve">Rapporto LF Nave/HGV</t>
  </si>
  <si>
    <t xml:space="preserve">calc</t>
  </si>
  <si>
    <t xml:space="preserve">Una nave=130× un camion</t>
  </si>
  <si>
    <t xml:space="preserve">⚠️ IMPLICAZIONE METODOLOGICA — La metrica Bvkm/PJ non è comparabile tra modi: 1 vkm navale ≠ 1 vkm stradale. Per confronti intersettoriali usare MJ/tkm (energia per tkm). Il parametro TEMOA Efficiency resta in Bvkm/PJ perché la Demand è in Bvkm, ma il modal shift va valutato in tkm equivalenti.</t>
  </si>
  <si>
    <t xml:space="preserve">JRC-IDEES Italy 2023 — ROAD FREIGHT SERIE STORICHE 2006-2023</t>
  </si>
  <si>
    <t xml:space="preserve">◆ LCV — Veicoli Commerciali Leggeri (≤3.5 t)</t>
  </si>
  <si>
    <t xml:space="preserve">Indicatore / Anno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</si>
  <si>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</si>
  <si>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</si>
  <si>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</si>
  <si>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</si>
  <si>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</si>
  <si>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</si>
  <si>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</si>
  <si>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</si>
  <si>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</si>
  <si>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</si>
  <si>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</si>
  <si>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</si>
  <si>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</si>
  <si>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</si>
  <si>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2022</t>
  </si>
  <si>
    <t xml:space="preserve">Vehicle-km [Mio km]</t>
  </si>
  <si>
    <t xml:space="preserve">Tonne-km [Mio tkm]</t>
  </si>
  <si>
    <t xml:space="preserve">Energia [ktoe]</t>
  </si>
  <si>
    <t xml:space="preserve">Eff. Veicolo [kgoe/100km]</t>
  </si>
  <si>
    <t xml:space="preserve">Intensità [kgoe/ktkm]</t>
  </si>
  <si>
    <t xml:space="preserve">Intensità [MJ/tkm] ✦</t>
  </si>
  <si>
    <t xml:space="preserve">◆ HGV — Veicoli Commerciali Pesanti (&gt;3.5 t) — TOTALE</t>
  </si>
  <si>
    <t xml:space="preserve">◆ MEDIA 2019-2023 (USATA COME BASE CALIBRAZIONE)</t>
  </si>
  <si>
    <t xml:space="preserve">Tipo veicolo</t>
  </si>
  <si>
    <t xml:space="preserve">kgoe/ktkm</t>
  </si>
  <si>
    <t xml:space="preserve">MJ/tkm</t>
  </si>
  <si>
    <t xml:space="preserve">kgoe/100km</t>
  </si>
  <si>
    <t xml:space="preserve">Std Dev ±</t>
  </si>
  <si>
    <t xml:space="preserve">LCV Diesel</t>
  </si>
  <si>
    <t xml:space="preserve">Riferimento 151-300km</t>
  </si>
  <si>
    <t xml:space="preserve">HGV Diesel (totale)</t>
  </si>
  <si>
    <t xml:space="preserve">BASE tab Master</t>
  </si>
  <si>
    <t xml:space="preserve">HGV Diesel (domestico)</t>
  </si>
  <si>
    <t xml:space="preserve">solo traffico IT</t>
  </si>
  <si>
    <t xml:space="preserve">HGV Diesel (internaz.)</t>
  </si>
  <si>
    <t xml:space="preserve">cross-border</t>
  </si>
  <si>
    <t xml:space="preserve">CONVERSIONE: 1 kgoe/ktkm = 0.041868 MJ/tkm (LHV). Valori ✦ MJ/tkm sono quelli usati in 09_Road_Eff_Master. La media 2019-2023 smorza le anomalie post-COVID (2022-23 sopra media per saturazione attività dopo restrizioni).</t>
  </si>
  <si>
    <t xml:space="preserve">Eurostat road_go_ta_dc — TRASPORTO STRADA per CLASSE DISTANZA 2006-2024</t>
  </si>
  <si>
    <t xml:space="preserve">Last updated: 17/02/2026 · Unit: MVkm (×1000 = BVkm), Mtkm, ktonnellate</t>
  </si>
  <si>
    <t xml:space="preserve">Classe / Metrica</t>
  </si>
  <si>
    <t xml:space="preserve">● &lt;50 km</t>
  </si>
  <si>
    <t xml:space="preserve">MVkm</t>
  </si>
  <si>
    <t xml:space="preserve">Mtkm</t>
  </si>
  <si>
    <t xml:space="preserve">ktons</t>
  </si>
  <si>
    <t xml:space="preserve">● 50-149 km</t>
  </si>
  <si>
    <t xml:space="preserve">● 150-299 km</t>
  </si>
  <si>
    <t xml:space="preserve">● 300-499 km</t>
  </si>
  <si>
    <t xml:space="preserve">● &gt;500 km</t>
  </si>
  <si>
    <t xml:space="preserve">TOTALE tkm [Mtkm]</t>
  </si>
  <si>
    <t xml:space="preserve">QUOTE % tkm per classe (calcolate)</t>
  </si>
  <si>
    <t xml:space="preserve">&lt;50 km %</t>
  </si>
  <si>
    <t xml:space="preserve">50-149 %</t>
  </si>
  <si>
    <t xml:space="preserve">150-299 %</t>
  </si>
  <si>
    <t xml:space="preserve">300-499 %</t>
  </si>
  <si>
    <t xml:space="preserve">&gt;500 %</t>
  </si>
  <si>
    <t xml:space="preserve">RAIL FREIGHT — SERIE STORICA Bvkm 2006-2024 (Eurostat rail_tf_trainmv)</t>
  </si>
  <si>
    <t xml:space="preserve">Dataset: rail_tf_trainmv · Unit: Bvkm (Thousand train-km ÷ 1,000,000) · Last updated 24/03/2026</t>
  </si>
  <si>
    <t xml:space="preserve">Totale treni [Bvkm]</t>
  </si>
  <si>
    <t xml:space="preserve">Treni merci [Bvkm]</t>
  </si>
  <si>
    <t xml:space="preserve">% merci/tot</t>
  </si>
  <si>
    <t xml:space="preserve">tkm merci IT [Bvkm·t]</t>
  </si>
  <si>
    <t xml:space="preserve">LF implicito [t/train]</t>
  </si>
  <si>
    <t xml:space="preserve">Start series</t>
  </si>
  <si>
    <t xml:space="preserve">Crisi economica</t>
  </si>
  <si>
    <t xml:space="preserve">N/A (confid.)</t>
  </si>
  <si>
    <t xml:space="preserve">Dato confidenziale</t>
  </si>
  <si>
    <t xml:space="preserve">Base 10y confronto</t>
  </si>
  <si>
    <t xml:space="preserve">Pre-COVID</t>
  </si>
  <si>
    <t xml:space="preserve">COVID dip</t>
  </si>
  <si>
    <t xml:space="preserve">Recovery</t>
  </si>
  <si>
    <t xml:space="preserve">Peak post-COVID</t>
  </si>
  <si>
    <t xml:space="preserve">−8.1% vs 2022</t>
  </si>
  <si>
    <t xml:space="preserve">+0.9% vs 2023 ISTAT</t>
  </si>
  <si>
    <t xml:space="preserve">LF implicito ≈ 450-500 t/train coerente con peso netto medio treno merci italiano (600-1000 t lordo) a LF ~55-65%. La quota merci/tot è stabile ~13% dal 2011: crescita lenta rispetto alla gomma (+30% in 10 anni vs +14% ferro). Eurostat goods 2024 = 0.0509 Bvkm → usata per calibrazione Efficiency rail in 09_Road_Eff_Master (NO, è foglio rail).</t>
  </si>
  <si>
    <t xml:space="preserve">MARITIME — ENERGIA NAV DOM + KPI PORTI + STIMA tkm PER ROTTA</t>
  </si>
  <si>
    <t xml:space="preserve">◆ KPI PORTI + CABOTAGGIO 2024 (ISTAT/Assoporti)</t>
  </si>
  <si>
    <t xml:space="preserve">KPI</t>
  </si>
  <si>
    <t xml:space="preserve">Var. vs 2023</t>
  </si>
  <si>
    <t xml:space="preserve">Merci totali porti IT</t>
  </si>
  <si>
    <t xml:space="preserve">Mt</t>
  </si>
  <si>
    <t xml:space="preserve">−0.07%</t>
  </si>
  <si>
    <t xml:space="preserve">Stabile vs 2023</t>
  </si>
  <si>
    <t xml:space="preserve">Quota cabotaggio</t>
  </si>
  <si>
    <t xml:space="preserve">%</t>
  </si>
  <si>
    <t xml:space="preserve">~188 Mt rotte interne</t>
  </si>
  <si>
    <t xml:space="preserve">Merci cabotaggio stima</t>
  </si>
  <si>
    <t xml:space="preserve">calc (488×0.386)</t>
  </si>
  <si>
    <t xml:space="preserve">Approdi navi totali</t>
  </si>
  <si>
    <t xml:space="preserve">n.</t>
  </si>
  <si>
    <t xml:space="preserve">+8.4%</t>
  </si>
  <si>
    <t xml:space="preserve">Più viaggi, meno grandi</t>
  </si>
  <si>
    <t xml:space="preserve">Stazza media nave</t>
  </si>
  <si>
    <t xml:space="preserve">−7.5%</t>
  </si>
  <si>
    <t xml:space="preserve">Navi più piccole</t>
  </si>
  <si>
    <t xml:space="preserve">Posizione EU per merci</t>
  </si>
  <si>
    <t xml:space="preserve">rank</t>
  </si>
  <si>
    <t xml:space="preserve">Dopo NL; 14.6% UE27</t>
  </si>
  <si>
    <t xml:space="preserve">Rinfusa liquida (petrolio/gas)</t>
  </si>
  <si>
    <t xml:space="preserve">% tot IT</t>
  </si>
  <si>
    <t xml:space="preserve">Container</t>
  </si>
  <si>
    <t xml:space="preserve">Ro-Ro / automezzi</t>
  </si>
  <si>
    <t xml:space="preserve">◆ PRINCIPALI PORTI MERCI (2024)</t>
  </si>
  <si>
    <t xml:space="preserve">Porto</t>
  </si>
  <si>
    <t xml:space="preserve">Mt totali</t>
  </si>
  <si>
    <t xml:space="preserve">Specializzazione</t>
  </si>
  <si>
    <t xml:space="preserve">Top EU rank</t>
  </si>
  <si>
    <t xml:space="preserve">Trieste</t>
  </si>
  <si>
    <t xml:space="preserve">Rinfusa liquida, container</t>
  </si>
  <si>
    <t xml:space="preserve">16°</t>
  </si>
  <si>
    <t xml:space="preserve">Hub petrolio Adriatico</t>
  </si>
  <si>
    <t xml:space="preserve">Genova</t>
  </si>
  <si>
    <t xml:space="preserve">Container, Ro-Ro, break bulk</t>
  </si>
  <si>
    <t xml:space="preserve">18°</t>
  </si>
  <si>
    <t xml:space="preserve">Multipurpose</t>
  </si>
  <si>
    <t xml:space="preserve">Gioia Tauro</t>
  </si>
  <si>
    <t xml:space="preserve">Container transhipment</t>
  </si>
  <si>
    <t xml:space="preserve">~33% container IT</t>
  </si>
  <si>
    <t xml:space="preserve">Ravenna</t>
  </si>
  <si>
    <t xml:space="preserve">Rinfusa solida</t>
  </si>
  <si>
    <t xml:space="preserve">1° IT rinfusa solida (12 Mt)</t>
  </si>
  <si>
    <t xml:space="preserve">Taranto</t>
  </si>
  <si>
    <t xml:space="preserve">Rinfusa liquida e solida</t>
  </si>
  <si>
    <t xml:space="preserve">Venezia</t>
  </si>
  <si>
    <t xml:space="preserve">Rinfusa, container, Ro-Ro</t>
  </si>
  <si>
    <t xml:space="preserve">◆ STIMA tkm CABOTAGGIO per ROTTA (tkm non pubblicati ufficialmente)</t>
  </si>
  <si>
    <t xml:space="preserve">Rotta</t>
  </si>
  <si>
    <t xml:space="preserve">Distanza [km]</t>
  </si>
  <si>
    <t xml:space="preserve">Mt/anno (stima)</t>
  </si>
  <si>
    <t xml:space="preserve">tkm stimati [Bvkm·t]</t>
  </si>
  <si>
    <t xml:space="preserve">Tipo nave</t>
  </si>
  <si>
    <t xml:space="preserve">Genova–Palermo / Napoli–Palermo</t>
  </si>
  <si>
    <t xml:space="preserve">600-900</t>
  </si>
  <si>
    <t xml:space="preserve">14-18</t>
  </si>
  <si>
    <t xml:space="preserve">Ro-Ro, Ro-Pax</t>
  </si>
  <si>
    <t xml:space="preserve">Principale rotta cabotaggio</t>
  </si>
  <si>
    <t xml:space="preserve">Livorno–Golfo Aranci (Sardegna)</t>
  </si>
  <si>
    <t xml:space="preserve">330</t>
  </si>
  <si>
    <t xml:space="preserve">8-10</t>
  </si>
  <si>
    <t xml:space="preserve">2.5-3.5</t>
  </si>
  <si>
    <t xml:space="preserve">Ro-Pax, ferry</t>
  </si>
  <si>
    <t xml:space="preserve">Civitavecchia–Olbia / Cagliari</t>
  </si>
  <si>
    <t xml:space="preserve">200-430</t>
  </si>
  <si>
    <t xml:space="preserve">6-8</t>
  </si>
  <si>
    <t xml:space="preserve">1.5-3.0</t>
  </si>
  <si>
    <t xml:space="preserve">Napoli–Catania / Catania–Genova</t>
  </si>
  <si>
    <t xml:space="preserve">500-800</t>
  </si>
  <si>
    <t xml:space="preserve">10-15</t>
  </si>
  <si>
    <t xml:space="preserve">6-10</t>
  </si>
  <si>
    <t xml:space="preserve">Ro-Ro cargo</t>
  </si>
  <si>
    <t xml:space="preserve">Rotte costiere brevi (&lt;200 km)</t>
  </si>
  <si>
    <t xml:space="preserve">50-200</t>
  </si>
  <si>
    <t xml:space="preserve">30-40</t>
  </si>
  <si>
    <t xml:space="preserve">4-6</t>
  </si>
  <si>
    <t xml:space="preserve">Bulk, general cargo</t>
  </si>
  <si>
    <t xml:space="preserve">TOTALE cabotaggio stimato</t>
  </si>
  <si>
    <t xml:space="preserve">180-195</t>
  </si>
  <si>
    <t xml:space="preserve">28-40</t>
  </si>
  <si>
    <t xml:space="preserve">Stima: Mt × dist media</t>
  </si>
  <si>
    <t xml:space="preserve">◆ ENERGIA NAVIGAZIONE DOM — EUROSTAT (ANCORA) vs JRC (alternativa)</t>
  </si>
  <si>
    <t xml:space="preserve">Variabile</t>
  </si>
  <si>
    <t xml:space="preserve">Uso nel calibrazione</t>
  </si>
  <si>
    <t xml:space="preserve">Nav dom energia (anchor primaria)</t>
  </si>
  <si>
    <t xml:space="preserve">PJ</t>
  </si>
  <si>
    <t xml:space="preserve">★ ANCORA — Usata in TEMOA_Ready</t>
  </si>
  <si>
    <t xml:space="preserve">Nav dom energia (alternativa)</t>
  </si>
  <si>
    <t xml:space="preserve">PJ (530.9 ktoe)</t>
  </si>
  <si>
    <t xml:space="preserve">2.5× Eurostat — scope include bunkers?</t>
  </si>
  <si>
    <t xml:space="preserve">Nav INT bunkers</t>
  </si>
  <si>
    <t xml:space="preserve">NON domestico — esclusi dalla calibrazione NAV_DOM</t>
  </si>
  <si>
    <t xml:space="preserve">Vkm coastal</t>
  </si>
  <si>
    <t xml:space="preserve">Mkm</t>
  </si>
  <si>
    <t xml:space="preserve">Numeratore per efficienza</t>
  </si>
  <si>
    <t xml:space="preserve">Vkm inland</t>
  </si>
  <si>
    <t xml:space="preserve">Po + canali</t>
  </si>
  <si>
    <t xml:space="preserve">Vkm totale dom</t>
  </si>
  <si>
    <t xml:space="preserve">Mkm = 0.02296 Bvkm</t>
  </si>
  <si>
    <t xml:space="preserve">FLEET EFFICIENCY (Eurostat)</t>
  </si>
  <si>
    <t xml:space="preserve">Bvkm/PJ</t>
  </si>
  <si>
    <t xml:space="preserve">calc = 0.02296/8.7</t>
  </si>
  <si>
    <t xml:space="preserve">★ Base per-fuel calibration</t>
  </si>
  <si>
    <t xml:space="preserve">FLEET EFFICIENCY (JRC)</t>
  </si>
  <si>
    <t xml:space="preserve">calc = 0.02296/22.2</t>
  </si>
  <si>
    <t xml:space="preserve">Alternativa (sensibilità)</t>
  </si>
  <si>
    <t xml:space="preserve">MJ/vkm fleet (Eurostat)</t>
  </si>
  <si>
    <t xml:space="preserve">MJ/vkm</t>
  </si>
  <si>
    <t xml:space="preserve">Consumo unitario per nave</t>
  </si>
  <si>
    <t xml:space="preserve">Shaft power flotta (Eurostat)</t>
  </si>
  <si>
    <t xml:space="preserve">kWh/vkm</t>
  </si>
  <si>
    <t xml:space="preserve">back-calc</t>
  </si>
  <si>
    <t xml:space="preserve">Parametro per per-fuel</t>
  </si>
  <si>
    <t xml:space="preserve">⚠️ DISCREPANZA EUROSTAT vs JRC — Il JRC-IDEES riporta 22.2 PJ per coastal freight 2022 vs 8.7 PJ Eurostat. Ipotesi: JRC include short-sea intra-EU non puramente domestico, o bunkers parziali. Per COERENZA con il resto del modello (rail + road usano Eurostat/IEA), usiamo Eurostat come ancora primaria. La versione JRC è conservata come scenario di sensibilità.</t>
  </si>
  <si>
    <t xml:space="preserve">ROAD FREIGHT — MASTER EFFICIENCY TABLE (MJ/tkm + Bvkm/PJ)</t>
  </si>
  <si>
    <t xml:space="preserve">Base: JRC-IDEES 2019-23 · Calibrazione distanza: Eurostat road_go_ta_dc · Fattori tech: ICCT/EcoTransIT/VECTO</t>
  </si>
  <si>
    <t xml:space="preserve">◆ SEZIONE A — INTENSITÀ ENERGETICA [MJ/tkm] (energia finale, tank-to-wheel)</t>
  </si>
  <si>
    <t xml:space="preserve">LCV Petrol</t>
  </si>
  <si>
    <t xml:space="preserve">LCV CNG</t>
  </si>
  <si>
    <t xml:space="preserve">LCV PHEV</t>
  </si>
  <si>
    <t xml:space="preserve">LCV BEV</t>
  </si>
  <si>
    <t xml:space="preserve">HGV Diesel</t>
  </si>
  <si>
    <t xml:space="preserve">HGV LNG</t>
  </si>
  <si>
    <t xml:space="preserve">HGV CNG</t>
  </si>
  <si>
    <t xml:space="preserve">HGV BEV</t>
  </si>
  <si>
    <t xml:space="preserve">HGV FCEV</t>
  </si>
  <si>
    <t xml:space="preserve">FATTORI CALIBRAZIONE USATI</t>
  </si>
  <si>
    <t xml:space="preserve">LCV vs Diesel</t>
  </si>
  <si>
    <t xml:space="preserve">HGV vs Diesel</t>
  </si>
  <si>
    <t xml:space="preserve">Fattore &lt;50km</t>
  </si>
  <si>
    <t xml:space="preserve">Fattore 51-150</t>
  </si>
  <si>
    <t xml:space="preserve">Fattore 151-300</t>
  </si>
  <si>
    <t xml:space="preserve">Fattore 301-500</t>
  </si>
  <si>
    <t xml:space="preserve">Fattore &gt;500</t>
  </si>
  <si>
    <t xml:space="preserve">Diesel (riferimento)</t>
  </si>
  <si>
    <t xml:space="preserve">JRC-IDEES + ICCT HDV 2023</t>
  </si>
  <si>
    <t xml:space="preserve">Petrol</t>
  </si>
  <si>
    <t xml:space="preserve">LCV: 1.5/1.2/1.0/0.85/0.75</t>
  </si>
  <si>
    <t xml:space="preserve">JRC implicito</t>
  </si>
  <si>
    <t xml:space="preserve">HGV: 1.6/1.2/1.0/0.85/0.75</t>
  </si>
  <si>
    <t xml:space="preserve">EcoTransIT + T&amp;E 2021</t>
  </si>
  <si>
    <t xml:space="preserve">PHEV</t>
  </si>
  <si>
    <t xml:space="preserve">ICCT 2023 + CE Delft</t>
  </si>
  <si>
    <t xml:space="preserve">BEV</t>
  </si>
  <si>
    <t xml:space="preserve">VECTO / Scania LCA</t>
  </si>
  <si>
    <t xml:space="preserve">FCEV</t>
  </si>
  <si>
    <t xml:space="preserve">ICCT / T&amp;E H2 2023</t>
  </si>
  <si>
    <t xml:space="preserve">◆ SEZIONE B — EFFICIENCY PRONTA PER TEMOA [Bvkm/PJ]</t>
  </si>
  <si>
    <t xml:space="preserve">Formula:  efficiency [Bvkm/PJ] = 1 / (E[MJ/tkm] × LF[t/veh])  —  LF da Eurostat road_go_ta_dc</t>
  </si>
  <si>
    <t xml:space="preserve">◆ SEZIONE C — EFFICIENCY FLEET-AVERAGE PER MODO (riferimento rapido)</t>
  </si>
  <si>
    <t xml:space="preserve">Modo / Tech</t>
  </si>
  <si>
    <t xml:space="preserve">Anchor energia</t>
  </si>
  <si>
    <t xml:space="preserve">Attività</t>
  </si>
  <si>
    <t xml:space="preserve">Nota</t>
  </si>
  <si>
    <t xml:space="preserve">Rail Freight (media IT, elettrico+diesel)</t>
  </si>
  <si>
    <t xml:space="preserve">~0.006-0.019</t>
  </si>
  <si>
    <t xml:space="preserve">~0.54-0.90</t>
  </si>
  <si>
    <t xml:space="preserve">Eurostat nrg_bal_c 20.57 PJ (rail tot)</t>
  </si>
  <si>
    <t xml:space="preserve">0.0509 Bvkm 2024</t>
  </si>
  <si>
    <t xml:space="preserve">97.6% elettrico</t>
  </si>
  <si>
    <t xml:space="preserve">Rail Freight solo elettrico</t>
  </si>
  <si>
    <t xml:space="preserve">~0.020-0.035</t>
  </si>
  <si>
    <t xml:space="preserve">~0.36-0.65</t>
  </si>
  <si>
    <t xml:space="preserve">15-25</t>
  </si>
  <si>
    <t xml:space="preserve">20.07 PJ elettricità rail</t>
  </si>
  <si>
    <t xml:space="preserve">0.042 Bvkm (82% di goods)</t>
  </si>
  <si>
    <t xml:space="preserve">Ciclo eff. mot. 85-92%</t>
  </si>
  <si>
    <t xml:space="preserve">Rail Freight solo diesel</t>
  </si>
  <si>
    <t xml:space="preserve">~0.007-0.012</t>
  </si>
  <si>
    <t xml:space="preserve">~0.90-1.62</t>
  </si>
  <si>
    <t xml:space="preserve">20-35</t>
  </si>
  <si>
    <t xml:space="preserve">0.5 PJ DST rail</t>
  </si>
  <si>
    <t xml:space="preserve">0.009 Bvkm (18% di goods)</t>
  </si>
  <si>
    <t xml:space="preserve">Sud IT, non elettrificate</t>
  </si>
  <si>
    <t xml:space="preserve">Nav DOM fleet (Eurostat anchor)</t>
  </si>
  <si>
    <t xml:space="preserve">0.179 (implied)</t>
  </si>
  <si>
    <t xml:space="preserve">Eurostat 8.7 PJ</t>
  </si>
  <si>
    <t xml:space="preserve">0.02296 Bvkm</t>
  </si>
  <si>
    <t xml:space="preserve">★ Anchor primaria</t>
  </si>
  <si>
    <t xml:space="preserve">Nav DOM fleet (JRC anchor)</t>
  </si>
  <si>
    <t xml:space="preserve">0.461 (implied)</t>
  </si>
  <si>
    <t xml:space="preserve">JRC 22.2 PJ</t>
  </si>
  <si>
    <t xml:space="preserve">Alternativa scenario</t>
  </si>
  <si>
    <t xml:space="preserve">MARITIME — EFFICIENCY PER FUEL (Eurostat anchor + JRC alternative)</t>
  </si>
  <si>
    <t xml:space="preserve">Metodologia: shaft-power calibrato su flotta IT (46.3 kWh/vkm Eurostat anchor) × SFC letteratura per fuel. Vkm = 0.02296 Bvkm (JRC 2022). Energia = 8.7 PJ Eurostat (anchor primaria) / 22.2 PJ JRC (alternativa).</t>
  </si>
  <si>
    <t xml:space="preserve">◆ SEZIONE A — SPECIFIC FUEL CONSUMPTION per FUEL (letteratura)</t>
  </si>
  <si>
    <t xml:space="preserve">Carburante</t>
  </si>
  <si>
    <t xml:space="preserve">SFC [g/kWh]</t>
  </si>
  <si>
    <t xml:space="preserve">η motore [%]</t>
  </si>
  <si>
    <t xml:space="preserve">MJ/kWh shaft</t>
  </si>
  <si>
    <t xml:space="preserve">EF CO₂ [kg/kg]</t>
  </si>
  <si>
    <t xml:space="preserve">Uso in DB</t>
  </si>
  <si>
    <t xml:space="preserve">Heavy Fuel Oil</t>
  </si>
  <si>
    <t xml:space="preserve">IMO 4th GHG 2020 Tab.21</t>
  </si>
  <si>
    <t xml:space="preserve">TRA_NAV_DOM_E/HFO, TRA_NAV_DOM_HFO_N</t>
  </si>
  <si>
    <t xml:space="preserve">2-stroke baseline</t>
  </si>
  <si>
    <t xml:space="preserve">Marine Diesel Oil</t>
  </si>
  <si>
    <t xml:space="preserve">TRA_NAV_DOM_E/DST, TRA_NAV_DOM_DST_N</t>
  </si>
  <si>
    <t xml:space="preserve">LNG (dual-fuel Otto)</t>
  </si>
  <si>
    <t xml:space="preserve">DNV Maritime 2024 + IMO 4th</t>
  </si>
  <si>
    <t xml:space="preserve">TRA_NAV_DOM_LNG_N 2025+</t>
  </si>
  <si>
    <t xml:space="preserve">η max; methane slip 0.1-2%</t>
  </si>
  <si>
    <t xml:space="preserve">Methanol (DF/ICE)</t>
  </si>
  <si>
    <t xml:space="preserve">T&amp;E 2023 + ICCT Marine MeOH</t>
  </si>
  <si>
    <t xml:space="preserve">TRA_NAV_DOM_MET_ICE_N 2030+</t>
  </si>
  <si>
    <t xml:space="preserve">MAN ME-LGIM</t>
  </si>
  <si>
    <t xml:space="preserve">Ammonia (ICE+pilot)</t>
  </si>
  <si>
    <t xml:space="preserve">ICCT Ammonia 2024 + DNV</t>
  </si>
  <si>
    <t xml:space="preserve">TRA_NAV_DOM_AMM_ICE_N 2030+</t>
  </si>
  <si>
    <t xml:space="preserve">NOx/N2O issue</t>
  </si>
  <si>
    <t xml:space="preserve">Liquid H₂ (ICE)</t>
  </si>
  <si>
    <t xml:space="preserve">DNV 2023 + IEA H₂ Outlook</t>
  </si>
  <si>
    <t xml:space="preserve">TRA_NAV_DOM_H2L_ICE_N 2030+</t>
  </si>
  <si>
    <t xml:space="preserve">Problema volume bordo</t>
  </si>
  <si>
    <t xml:space="preserve">DUAL_HM</t>
  </si>
  <si>
    <t xml:space="preserve">Dual HFO-Methanol 50/50</t>
  </si>
  <si>
    <t xml:space="preserve">media pesata MAHTEP</t>
  </si>
  <si>
    <t xml:space="preserve">TRA_NAV_DOM_DUAL_N 2025+</t>
  </si>
  <si>
    <t xml:space="preserve">pilot fuel + primary</t>
  </si>
  <si>
    <t xml:space="preserve">DUAL_HA</t>
  </si>
  <si>
    <t xml:space="preserve">Dual HFO-Ammonia 50/50</t>
  </si>
  <si>
    <t xml:space="preserve">TRA_NAV_INT_DUAL_N 2025+</t>
  </si>
  <si>
    <t xml:space="preserve">◆ SEZIONE B — EFFICIENCY [Bvkm/PJ] — EUROSTAT ANCHOR ★ (primaria per TEMOA)</t>
  </si>
  <si>
    <t xml:space="preserve">Shaft power calibrato = 46.3 kWh/vkm (= MJ_vkm_fleet / MJ_kWh_HFO × SFC_HFO)</t>
  </si>
  <si>
    <t xml:space="preserve">MJ/vkm (×46.3)</t>
  </si>
  <si>
    <t xml:space="preserve">MJ/tkm (/2128)</t>
  </si>
  <si>
    <t xml:space="preserve">tkm/MJ</t>
  </si>
  <si>
    <t xml:space="preserve">% rel HFO</t>
  </si>
  <si>
    <t xml:space="preserve">IMO 4th GHG</t>
  </si>
  <si>
    <t xml:space="preserve">baseline</t>
  </si>
  <si>
    <t xml:space="preserve">LNG (DF Otto)</t>
  </si>
  <si>
    <t xml:space="preserve">DNV+IMO</t>
  </si>
  <si>
    <t xml:space="preserve">#1 efficienza</t>
  </si>
  <si>
    <t xml:space="preserve">T&amp;E+ICCT</t>
  </si>
  <si>
    <t xml:space="preserve">Ammonia (ICE)</t>
  </si>
  <si>
    <t xml:space="preserve">ICCT+DNV</t>
  </si>
  <si>
    <t xml:space="preserve">TRL 7-8</t>
  </si>
  <si>
    <t xml:space="preserve">DNV+IEA</t>
  </si>
  <si>
    <t xml:space="preserve">#8 volume issue</t>
  </si>
  <si>
    <t xml:space="preserve">Dual HFO-MET 50/50</t>
  </si>
  <si>
    <t xml:space="preserve">media</t>
  </si>
  <si>
    <t xml:space="preserve">Dual HFO-AMM 50/50</t>
  </si>
  <si>
    <t xml:space="preserve">◆ SEZIONE C — EFFICIENCY [Bvkm/PJ] — JRC ANCHOR (sensibilità)</t>
  </si>
  <si>
    <t xml:space="preserve">Shaft power calibrato su 22.2 PJ JRC → 142.5 kWh/vkm (3.08× Eurostat)</t>
  </si>
  <si>
    <t xml:space="preserve">MJ/vkm (×142.5)</t>
  </si>
  <si>
    <t xml:space="preserve">IMO + JRC</t>
  </si>
  <si>
    <t xml:space="preserve">DNV + JRC</t>
  </si>
  <si>
    <t xml:space="preserve">Methanol</t>
  </si>
  <si>
    <t xml:space="preserve">T&amp;E + JRC</t>
  </si>
  <si>
    <t xml:space="preserve">Ammonia</t>
  </si>
  <si>
    <t xml:space="preserve">ICCT + JRC</t>
  </si>
  <si>
    <t xml:space="preserve">Liquid H₂</t>
  </si>
  <si>
    <t xml:space="preserve">Dual HFO-MET</t>
  </si>
  <si>
    <t xml:space="preserve">media + JRC</t>
  </si>
  <si>
    <t xml:space="preserve">Dual HFO-AMM</t>
  </si>
  <si>
    <t xml:space="preserve">◆ SEZIONE D — CONFRONTO INTERSETTORIALE (MJ/tkm)</t>
  </si>
  <si>
    <t xml:space="preserve">Modo/Tech</t>
  </si>
  <si>
    <t xml:space="preserve">gCO₂/tkm TTW</t>
  </si>
  <si>
    <t xml:space="preserve">Ratio vs HGV Diesel</t>
  </si>
  <si>
    <t xml:space="preserve">Nave HFO (Eurostat)</t>
  </si>
  <si>
    <t xml:space="preserve">-82% MJ/tkm vs HGV</t>
  </si>
  <si>
    <t xml:space="preserve">Nave LNG (Eurostat)</t>
  </si>
  <si>
    <t xml:space="preserve">-84% MJ/tkm vs HGV</t>
  </si>
  <si>
    <t xml:space="preserve">Nave HFO (JRC)</t>
  </si>
  <si>
    <t xml:space="preserve">-45% MJ/tkm vs HGV</t>
  </si>
  <si>
    <t xml:space="preserve">Nave LNG (JRC)</t>
  </si>
  <si>
    <t xml:space="preserve">-50% MJ/tkm vs HGV</t>
  </si>
  <si>
    <t xml:space="preserve">Rail Freight (media IT)</t>
  </si>
  <si>
    <t xml:space="preserve">Diesel+elettrico mix</t>
  </si>
  <si>
    <t xml:space="preserve">Rail Elettrico puro</t>
  </si>
  <si>
    <t xml:space="preserve">Con mix IT 320 g/kWh</t>
  </si>
  <si>
    <t xml:space="preserve">HGV Diesel 151-300 BASE</t>
  </si>
  <si>
    <t xml:space="preserve">RIFERIMENTO</t>
  </si>
  <si>
    <t xml:space="preserve">HGV BEV 151-300</t>
  </si>
  <si>
    <t xml:space="preserve">HGV FCEV 151-300</t>
  </si>
  <si>
    <t xml:space="preserve">WTT dipende fonte H₂</t>
  </si>
  <si>
    <t xml:space="preserve">📌 CONCLUSIONE METODOLOGICA — In Bvkm/PJ la nave sembra PEGGIO del camion perché ignora il LF 130× maggiore. In MJ/tkm la nave è 1.5-5× MEGLIO del camion (a seconda dell'anchor). TEMOA usa Bvkm/PJ perché la Demand è in Bvkm; per scenari di modal shift serve una commodity comune (TRA_FRG_LD in Bvkm normalizzato) — vedi Fase 3 del Project_Phases_Freight_Decarbonisation.pdf.</t>
  </si>
  <si>
    <t xml:space="preserve">TEMOA-READY — INSERT/UPDATE ROWS per Efficiency Transport.sql</t>
  </si>
  <si>
    <t xml:space="preserve">Pronto per: sqlite3 Transport.sql &lt; queries.sql · Testare dopo ogni batch con SELECT di verifica</t>
  </si>
  <si>
    <t xml:space="preserve">◆ SEZIONE A — RIGHE Efficiency ROAD FREIGHT — INSERT o UPDATE</t>
  </si>
  <si>
    <t xml:space="preserve">region</t>
  </si>
  <si>
    <t xml:space="preserve">input_comm</t>
  </si>
  <si>
    <t xml:space="preserve">tech</t>
  </si>
  <si>
    <t xml:space="preserve">vintage</t>
  </si>
  <si>
    <t xml:space="preserve">output_comm</t>
  </si>
  <si>
    <t xml:space="preserve">efficiency</t>
  </si>
  <si>
    <t xml:space="preserve">eff_notes</t>
  </si>
  <si>
    <t xml:space="preserve">source</t>
  </si>
  <si>
    <t xml:space="preserve">distance_class</t>
  </si>
  <si>
    <t xml:space="preserve">action</t>
  </si>
  <si>
    <t xml:space="preserve">IT</t>
  </si>
  <si>
    <t xml:space="preserve">DSL</t>
  </si>
  <si>
    <t xml:space="preserve">LCV_Diesel</t>
  </si>
  <si>
    <t xml:space="preserve">FRTLCV</t>
  </si>
  <si>
    <t xml:space="preserve">JRC pair 2022</t>
  </si>
  <si>
    <t xml:space="preserve">INSERT</t>
  </si>
  <si>
    <t xml:space="preserve">LCV_BEV</t>
  </si>
  <si>
    <t xml:space="preserve">Scania LCA×1.5</t>
  </si>
  <si>
    <t xml:space="preserve">Scania LCA×1.2</t>
  </si>
  <si>
    <t xml:space="preserve">Scania LCA</t>
  </si>
  <si>
    <t xml:space="preserve">×0.85 dist</t>
  </si>
  <si>
    <t xml:space="preserve">×0.75 dist</t>
  </si>
  <si>
    <t xml:space="preserve">HGV_Diesel</t>
  </si>
  <si>
    <t xml:space="preserve">FRTHGV</t>
  </si>
  <si>
    <t xml:space="preserve">Eurostat anchor</t>
  </si>
  <si>
    <t xml:space="preserve">Eurostat</t>
  </si>
  <si>
    <t xml:space="preserve">UPDATE</t>
  </si>
  <si>
    <t xml:space="preserve">HGV_LNG</t>
  </si>
  <si>
    <t xml:space="preserve">×0.93 vs DSL</t>
  </si>
  <si>
    <t xml:space="preserve">HGV_BEV</t>
  </si>
  <si>
    <t xml:space="preserve">×0.32 vs DSL</t>
  </si>
  <si>
    <t xml:space="preserve">HGV_FCEV</t>
  </si>
  <si>
    <t xml:space="preserve">×0.45 vs DSL</t>
  </si>
  <si>
    <t xml:space="preserve">ICCT+T&amp;E</t>
  </si>
  <si>
    <t xml:space="preserve">◆ SEZIONE B — RIGHE Efficiency MARITIME (Eurostat anchor) — UPDATE su DB esistente</t>
  </si>
  <si>
    <t xml:space="preserve">efficiency (Eurostat)</t>
  </si>
  <si>
    <t xml:space="preserve">efficiency (JRC alt)</t>
  </si>
  <si>
    <t xml:space="preserve">DB attuale</t>
  </si>
  <si>
    <t xml:space="preserve">gap</t>
  </si>
  <si>
    <t xml:space="preserve">TRA_DST</t>
  </si>
  <si>
    <t xml:space="preserve">TRA_NAV_DOM_E</t>
  </si>
  <si>
    <t xml:space="preserve">NAV_DOM</t>
  </si>
  <si>
    <t xml:space="preserve">14.7×</t>
  </si>
  <si>
    <t xml:space="preserve">TRA_HFO</t>
  </si>
  <si>
    <t xml:space="preserve">TRA_NAV_DOM_DST_N</t>
  </si>
  <si>
    <t xml:space="preserve">14.5×</t>
  </si>
  <si>
    <t xml:space="preserve">TRA_NAV_DOM_HFO_N</t>
  </si>
  <si>
    <t xml:space="preserve">TRA_LNG</t>
  </si>
  <si>
    <t xml:space="preserve">TRA_NAV_DOM_LNG_N</t>
  </si>
  <si>
    <t xml:space="preserve">TRA_MET</t>
  </si>
  <si>
    <t xml:space="preserve">TRA_NAV_DOM_MET_ICE_N</t>
  </si>
  <si>
    <t xml:space="preserve">16.8×</t>
  </si>
  <si>
    <t xml:space="preserve">16.7×</t>
  </si>
  <si>
    <t xml:space="preserve">TRA_AMM</t>
  </si>
  <si>
    <t xml:space="preserve">TRA_NAV_DOM_AMM_ICE_N</t>
  </si>
  <si>
    <t xml:space="preserve">15.1×</t>
  </si>
  <si>
    <t xml:space="preserve">TRA_H2L</t>
  </si>
  <si>
    <t xml:space="preserve">TRA_NAV_DOM_H2L_ICE_N</t>
  </si>
  <si>
    <t xml:space="preserve">66.7×</t>
  </si>
  <si>
    <t xml:space="preserve">66.5×</t>
  </si>
  <si>
    <t xml:space="preserve">TRA_NAV_DOM_DUAL_N</t>
  </si>
  <si>
    <t xml:space="preserve">◆ SEZIONE C — QUERY SQL PRONTE (Eurostat anchor primaria)</t>
  </si>
  <si>
    <t xml:space="preserve">-- ═══════════════════════════════════════════════════════════════════════════════</t>
  </si>
  <si>
    <t xml:space="preserve">-- TEMOA-Italy · AGGIORNAMENTO Efficiency Transport.sql</t>
  </si>
  <si>
    <t xml:space="preserve">-- Anchor: Eurostat nrg_bal_c 2022 · Vkm: JRC-IDEES 2023 · Unit: Bvkm/PJ</t>
  </si>
  <si>
    <t xml:space="preserve">-- Data generazione: Aprile 2026 · Review prof. obbligatoria prima di COMMIT</t>
  </si>
  <si>
    <t xml:space="preserve">BEGIN TRANSACTION;</t>
  </si>
  <si>
    <t xml:space="preserve">-- ─── ROAD HGV DIESEL (Eurostat-anchored, gap &lt;10%, opzionale) ───────────────────</t>
  </si>
  <si>
    <t xml:space="preserve">-- UPDATE Efficiency SET efficiency=6.155e-05 WHERE tech='TRA_ROA_HTR_DST_E' AND vintage=2006;</t>
  </si>
  <si>
    <t xml:space="preserve">-- ─── NAVIGAZIONE DOMESTICA — Eurostat anchor (primaria) ─────────────────────────</t>
  </si>
  <si>
    <t xml:space="preserve">-- ⚠️  ATTENZIONE: se aggiorni Efficiency, aggiorna COERENTEMENTE Demand/ExistingCapacity</t>
  </si>
  <si>
    <t xml:space="preserve">--     altrimenti il bilancio Demand/Eff = Energia viola la storica IEA/Eurostat.</t>
  </si>
  <si>
    <t xml:space="preserve">UPDATE Efficiency SET efficiency=2.531e-03</t>
  </si>
  <si>
    <t xml:space="preserve">  WHERE tech='TRA_NAV_DOM_E' AND input_comm='TRA_DST' AND vintage=2006;</t>
  </si>
  <si>
    <t xml:space="preserve">UPDATE Efficiency SET efficiency=2.757e-03</t>
  </si>
  <si>
    <t xml:space="preserve">  WHERE tech='TRA_NAV_DOM_E' AND input_comm='TRA_HFO' AND vintage=2006;</t>
  </si>
  <si>
    <t xml:space="preserve">  WHERE tech='TRA_NAV_DOM_DST_N' AND input_comm='TRA_DST' AND vintage=2007;</t>
  </si>
  <si>
    <t xml:space="preserve">  WHERE tech='TRA_NAV_DOM_HFO_N' AND input_comm='TRA_HFO' AND vintage=2007;</t>
  </si>
  <si>
    <t xml:space="preserve">UPDATE Efficiency SET efficiency=3.002e-03</t>
  </si>
  <si>
    <t xml:space="preserve">  WHERE tech='TRA_NAV_DOM_LNG_N' AND input_comm='TRA_LNG' AND vintage=2025;</t>
  </si>
  <si>
    <t xml:space="preserve">UPDATE Efficiency SET efficiency=3.152e-03</t>
  </si>
  <si>
    <t xml:space="preserve">  WHERE tech='TRA_NAV_DOM_LNG_N' AND input_comm='TRA_LNG' AND vintage=2050;</t>
  </si>
  <si>
    <t xml:space="preserve">UPDATE Efficiency SET efficiency=2.715e-03</t>
  </si>
  <si>
    <t xml:space="preserve">  WHERE tech='TRA_NAV_DOM_MET_ICE_N' AND input_comm='TRA_MET' AND vintage=2030;</t>
  </si>
  <si>
    <t xml:space="preserve">UPDATE Efficiency SET efficiency=3.530e-03</t>
  </si>
  <si>
    <t xml:space="preserve">  WHERE tech='TRA_NAV_DOM_MET_ICE_N' AND input_comm='TRA_MET' AND vintage=2050;</t>
  </si>
  <si>
    <t xml:space="preserve">UPDATE Efficiency SET efficiency=2.421e-03</t>
  </si>
  <si>
    <t xml:space="preserve">  WHERE tech='TRA_NAV_DOM_AMM_ICE_N' AND input_comm='TRA_AMM' AND vintage=2030;</t>
  </si>
  <si>
    <t xml:space="preserve">UPDATE Efficiency SET efficiency=3.026e-03</t>
  </si>
  <si>
    <t xml:space="preserve">  WHERE tech='TRA_NAV_DOM_AMM_ICE_N' AND input_comm='TRA_AMM' AND vintage=2050;</t>
  </si>
  <si>
    <t xml:space="preserve">UPDATE Efficiency SET efficiency=1.001e-03</t>
  </si>
  <si>
    <t xml:space="preserve">  WHERE tech='TRA_NAV_DOM_H2L_ICE_N' AND input_comm='TRA_H2L' AND vintage=2030;</t>
  </si>
  <si>
    <t xml:space="preserve">UPDATE Efficiency SET efficiency=1.251e-03</t>
  </si>
  <si>
    <t xml:space="preserve">  WHERE tech='TRA_NAV_DOM_H2L_ICE_N' AND input_comm='TRA_H2L' AND vintage=2050;</t>
  </si>
  <si>
    <t xml:space="preserve">UPDATE Efficiency SET efficiency=2.414e-03</t>
  </si>
  <si>
    <t xml:space="preserve">  WHERE tech='TRA_NAV_DOM_DUAL_N' AND input_comm='TRA_HFO' AND vintage=2025;</t>
  </si>
  <si>
    <t xml:space="preserve">  WHERE tech='TRA_NAV_DOM_DUAL_N' AND input_comm='TRA_MET' AND vintage=2025;</t>
  </si>
  <si>
    <t xml:space="preserve">-- ─── VERIFICA POST-UPDATE ───────────────────────────────────────────────────────</t>
  </si>
  <si>
    <t xml:space="preserve">SELECT tech, input_comm, vintage, output_comm, efficiency, eff_notes</t>
  </si>
  <si>
    <t xml:space="preserve">  FROM Efficiency WHERE tech LIKE 'TRA_NAV_DOM%'</t>
  </si>
  <si>
    <t xml:space="preserve">  ORDER BY tech, vintage, input_comm;</t>
  </si>
  <si>
    <t xml:space="preserve">-- ─── ROLLBACK se risultati non coerenti, altrimenti COMMIT ─────────────────────</t>
  </si>
  <si>
    <t xml:space="preserve">-- ROLLBACK;</t>
  </si>
  <si>
    <t xml:space="preserve">COMMIT;</t>
  </si>
  <si>
    <t xml:space="preserve">VALIDAZIONE vs Transport.sql — GAP ANALYSIS + AZIONI</t>
  </si>
  <si>
    <t xml:space="preserve">Tech TEMOA</t>
  </si>
  <si>
    <t xml:space="preserve">DB attuale [Bvkm/PJ]</t>
  </si>
  <si>
    <t xml:space="preserve">Calc [Bvkm/PJ]</t>
  </si>
  <si>
    <t xml:space="preserve">Anchor</t>
  </si>
  <si>
    <t xml:space="preserve">Fonte calc</t>
  </si>
  <si>
    <t xml:space="preserve">Severità</t>
  </si>
  <si>
    <t xml:space="preserve">Azione</t>
  </si>
  <si>
    <t xml:space="preserve">◆ ROAD — DB coerente entro 10%, nessuna azione obbligatoria</t>
  </si>
  <si>
    <t xml:space="preserve">LCV_Diesel 2020 (base)</t>
  </si>
  <si>
    <t xml:space="preserve">1.00×</t>
  </si>
  <si>
    <t xml:space="preserve">JRC pair</t>
  </si>
  <si>
    <t xml:space="preserve">✓ OK</t>
  </si>
  <si>
    <t xml:space="preserve">Nessuna — coerente</t>
  </si>
  <si>
    <t xml:space="preserve">HGV_Diesel 2020 (base)</t>
  </si>
  <si>
    <t xml:space="preserve">Eurostat+JRC</t>
  </si>
  <si>
    <t xml:space="preserve">Opzionale: +8%</t>
  </si>
  <si>
    <t xml:space="preserve">LCV_BEV 2025</t>
  </si>
  <si>
    <t xml:space="preserve">n.d.</t>
  </si>
  <si>
    <t xml:space="preserve">VECTO×dist</t>
  </si>
  <si>
    <t xml:space="preserve">🟢 NEW</t>
  </si>
  <si>
    <t xml:space="preserve">INSERT nuova tech</t>
  </si>
  <si>
    <t xml:space="preserve">HGV_BEV 2025</t>
  </si>
  <si>
    <t xml:space="preserve">HGV_FCEV 2028</t>
  </si>
  <si>
    <t xml:space="preserve">◆ RAIL — gap 2.5× — chiedere al prof quale scope usa la DB</t>
  </si>
  <si>
    <t xml:space="preserve">Eurostat/IEA</t>
  </si>
  <si>
    <t xml:space="preserve">🟡 VERIF.</t>
  </si>
  <si>
    <t xml:space="preserve">❓ Prof: quale anchor DB usa?</t>
  </si>
  <si>
    <t xml:space="preserve">Rail Freight ELC 2006</t>
  </si>
  <si>
    <t xml:space="preserve">Eurostat 20.07PJ rail tot</t>
  </si>
  <si>
    <t xml:space="preserve">❓ Prof: rail split DST/ELC</t>
  </si>
  <si>
    <t xml:space="preserve">◆ MARITIME — gap 15-67× — CALIBRAZIONE DB SOTTOSTIMA SISTEMATICAMENTE</t>
  </si>
  <si>
    <t xml:space="preserve">TRA_NAV_DOM_E HFO 2006</t>
  </si>
  <si>
    <t xml:space="preserve">IMO+calc</t>
  </si>
  <si>
    <t xml:space="preserve">🔴 ALTA</t>
  </si>
  <si>
    <t xml:space="preserve">UPDATE + riallineare Demand</t>
  </si>
  <si>
    <t xml:space="preserve">TRA_NAV_DOM_E DST 2006</t>
  </si>
  <si>
    <t xml:space="preserve">UPDATE + Demand</t>
  </si>
  <si>
    <t xml:space="preserve">TRA_NAV_DOM_HFO_N 2007</t>
  </si>
  <si>
    <t xml:space="preserve">TRA_NAV_DOM_LNG_N 2025</t>
  </si>
  <si>
    <t xml:space="preserve">TRA_NAV_DOM_MET_ICE_N 2030</t>
  </si>
  <si>
    <t xml:space="preserve">TRA_NAV_DOM_AMM_ICE_N 2030</t>
  </si>
  <si>
    <t xml:space="preserve">TRA_NAV_DOM_H2L_ICE_N 2030</t>
  </si>
  <si>
    <t xml:space="preserve">🔴 CRIT.</t>
  </si>
  <si>
    <t xml:space="preserve">UPDATE + Demand (LH2 outlier)</t>
  </si>
  <si>
    <t xml:space="preserve">TRA_NAV_DOM_DUAL_N 2025</t>
  </si>
  <si>
    <t xml:space="preserve">◆ DIAGNOSI del gap marittimo</t>
  </si>
  <si>
    <t xml:space="preserve">Ipotesi</t>
  </si>
  <si>
    <t xml:space="preserve">Evidenza / verifica</t>
  </si>
  <si>
    <t xml:space="preserve">Ipotesi 1: DB calibrato su navi ocean-going (INT) più grandi</t>
  </si>
  <si>
    <t xml:space="preserve">Possibile — nelle INT il LF sale a 5000-20000 t/veh</t>
  </si>
  <si>
    <t xml:space="preserve">Ipotesi 2: scope 'NAV_DOM' nel DB include solo sub-segmento (porto-porto breve)</t>
  </si>
  <si>
    <t xml:space="preserve">Coerente con Demand DOM_NAV DB 3.81e-3 Bvkm vs JRC 17.8e-3 (gap 4-5×)</t>
  </si>
  <si>
    <t xml:space="preserve">Ipotesi 3: calibrazione legacy su anni pre-2010 con flotta diversa</t>
  </si>
  <si>
    <t xml:space="preserve">Da verificare git history Transport.sql</t>
  </si>
  <si>
    <t xml:space="preserve">Ipotesi 4 (favorita): il DB usa un'unità 'virtuale' Bvkm proxy, non reale Bvkm JRC</t>
  </si>
  <si>
    <t xml:space="preserve">Se sì: serve fattore scala documentato, NON update cieco</t>
  </si>
  <si>
    <t xml:space="preserve">◆ RACCOMANDAZIONE OPERATIVA</t>
  </si>
  <si>
    <t xml:space="preserve">OPZIONE A (aggressiva) — Aggiornare Efficiency E Demand E ExistingCapacity MARITIME coerentemente con Eurostat 2022. Rischio: rompere la calibrazione storica del DB.
OPZIONE B (conservativa) — Mantenere DB com'è per gli scenari di riferimento. Usare i nuovi valori SOLO per scenari di sensibilità (S_MAR_HIGH_EFF), documentando la discrepanza nel report.
OPZIONE C (raccomandata) — Prima di toccare il DB, CHIEDERE al prof:
  (i) quale anchor ha usato MAHTEP per la calibrazione originale del settore MAR;
  (ii) se il DB sia mai stato ri-calibrato post-2020 (le Demand DOM_NAV sembrano ferme al 2022);
  (iii) se convenga ri-calibrare in coppia con la Fase 2 (Maritime Tech Expansion) dell'incarico di progetto.</t>
  </si>
  <si>
    <t xml:space="preserve">DOMANDE APERTE PER IL DOCENTE — prima dell'implementazione SQL</t>
  </si>
  <si>
    <t xml:space="preserve">Obiettivo: allineare metodologia con quanto calibrato in Transport.sql + ottenere OK su scope modifiche prima di commit</t>
  </si>
  <si>
    <t xml:space="preserve">Area</t>
  </si>
  <si>
    <t xml:space="preserve">Domanda</t>
  </si>
  <si>
    <t xml:space="preserve">Blocking?</t>
  </si>
  <si>
    <t xml:space="preserve">Impatto se risolta</t>
  </si>
  <si>
    <t xml:space="preserve">Calibrazione NAV_DOM</t>
  </si>
  <si>
    <t xml:space="preserve">Transport.sql ha Efficiency NAV_DOM HFO = 1.71e-4 Bvkm/PJ. Usando Eurostat 8.7 PJ + JRC 0.023 Bvkm calcoliamo 2.76e-3 Bvkm/PJ (gap 16×). Quale anchor energia hai usato per il DB originale? Il valore DB è in Bvkm 'virtuali' (scalati) o in Bvkm reali?</t>
  </si>
  <si>
    <t xml:space="preserve">SÌ</t>
  </si>
  <si>
    <t xml:space="preserve">Se reale: serve UPDATE coordinato; se virtuale: solo documentare il fattore di scala</t>
  </si>
  <si>
    <t xml:space="preserve">Base year 2006 vs 2022</t>
  </si>
  <si>
    <t xml:space="preserve">La calibrazione che abbiamo costruito usa media 2019-2023 JRC come base. Il DB parte dal 2006. Preferisci che la base Efficiency resti ancorata al 2006 (come da ExistingCapacity) o ri-calibriamo su 2022?</t>
  </si>
  <si>
    <t xml:space="preserve">Determina se MediaStoric 2019-23 va applicata a vintage=2006 o vintage=2025</t>
  </si>
  <si>
    <t xml:space="preserve">Unità TEMOA definitiva</t>
  </si>
  <si>
    <t xml:space="preserve">Transport.sql usa Bvkm/PJ come efficiency (output/input). Il nostro calcolo lo conferma. Ma il TEMOA Reference Guide (MAHTEP) in alcuni esempi usa Mtoe/Bvkm. Confermi Bvkm/PJ come standard?</t>
  </si>
  <si>
    <t xml:space="preserve">Semplice conferma — cambia nulla se Bvkm/PJ, altrimenti conversione ×2.388e-8</t>
  </si>
  <si>
    <t xml:space="preserve">Truck segmentation (Fase 1)</t>
  </si>
  <si>
    <t xml:space="preserve">Il progetto richiede HTR_LD / HTR_SR / HTR_UR e MTR_LD / MTR_UR. La nostra base MJ/tkm è per classe distanza Eurostat (&lt;50, 50-150, 151-300, 301-500, &gt;500 km). Mappatura proposta: HTR_UR=&lt;50; HTR_SR=50-150+151-300; HTR_LD=301-500+&gt;500. OK o preferisci altra aggregazione?</t>
  </si>
  <si>
    <t xml:space="preserve">Cambia # nuove tech, ExistingCapacity iniziali, MaxActivity</t>
  </si>
  <si>
    <t xml:space="preserve">Demand projection 2025-2050</t>
  </si>
  <si>
    <t xml:space="preserve">Il DB attuale ha Demand TRA_NAV_DOM fino al 2022. Per Fase 2 (Maritime Expansion) servono proiezioni 2025-2050. Preferisci: (a) crescita lineare su trend ISTAT 2014-2024, (b) allineamento PNIEC/PNRR, o (c) scenari IMO GHG Strategy?</t>
  </si>
  <si>
    <t xml:space="preserve">NO</t>
  </si>
  <si>
    <t xml:space="preserve">Determina baseline per scenari — default (b)</t>
  </si>
  <si>
    <t xml:space="preserve">Commodity unificata TRA_FRG_LD (Fase 3)</t>
  </si>
  <si>
    <t xml:space="preserve">Il modal shift endogeno richiede una commodity aggregata long-distance. Proponiamo di creare TRA_FRG_LD [Bvkm-equivalent] combinando HTR_LD + RAIL_FRG + NAV_DOM competitive tramite coefficienti tkm-equivalence (LF medio per modo). Confermi approccio?</t>
  </si>
  <si>
    <t xml:space="preserve">Alternativa: TRA_FRG_LD in Mtkm anziché Bvkm — richiede revisione sistemica</t>
  </si>
  <si>
    <t xml:space="preserve">MinCapacity vincoli (Fase 3)</t>
  </si>
  <si>
    <t xml:space="preserve">Proponiamo: MinCapacity RAIL_FRG = 27 Bvkm/anno (current RFI), MaxCapacity 80 Bvkm@2030 (PNRR +50%). MinCapacity NAV_DOM = 30 Bvkm (baseline porti). Sono compatibili con le tue assumptions / il resto del modello?</t>
  </si>
  <si>
    <t xml:space="preserve">Vincoli realistici su rete — si possono taratare dopo</t>
  </si>
  <si>
    <t xml:space="preserve">Critical Raw Materials (Fase 4)</t>
  </si>
  <si>
    <t xml:space="preserve">Tier 1 (post-process): scaling MaterialIntensity CAR_ELC_N × 8-10 per HTR_ELC_N, × 3 per FCEV. Tier 2: valori diretti da IEA 'Critical Minerals' 2024. Quale approccio vuoi che adottiamo come default nel report?</t>
  </si>
  <si>
    <t xml:space="preserve">Tier 1 = più veloce; Tier 2 = più rigoroso ma richiede nuova tabella</t>
  </si>
  <si>
    <t xml:space="preserve">EmissionActivity — unità</t>
  </si>
  <si>
    <t xml:space="preserve">Il DB usa EmissionActivity in kt/PJ per emis_comm=CO2. I nostri gCO2/MJ vanno convertiti: 1 gCO₂/MJ = 1 kt/PJ. Confermi? E vuoi che popoliamo anche WTW (emis_comm=CO2_WTW separato) oppure solo TTW come da convenzione TEMOA?</t>
  </si>
  <si>
    <t xml:space="preserve">Standard: solo TTW, WTW modellato upstream — confermare</t>
  </si>
  <si>
    <t xml:space="preserve">HICP inflation adjustment</t>
  </si>
  <si>
    <t xml:space="preserve">I CostInvest che raccoglieremo da DNV 2023 / IEA 2024 / ICCT 2023 hanno anni diversi. Convertiamo tutto a €2020 come standard TEMOA (HICP 2020=105.76)? O preferisci €2015 (base HICP=100)?</t>
  </si>
  <si>
    <t xml:space="preserve">Ininfluente sui risultati se consistente — serve solo decidere anno ref.</t>
  </si>
  <si>
    <t xml:space="preserve">Maritime scope: cabotaggio vs short-sea EU</t>
  </si>
  <si>
    <t xml:space="preserve">JRC-IDEES IT 2022 riporta 22.2 PJ coastal vs Eurostat 8.7 PJ nav_dom. La differenza (~14 PJ) probabilmente è short-sea intra-EU. Nel DB NAV_DOM rientra SOLO cabotaggio IT-IT o anche short-sea IT→EU?</t>
  </si>
  <si>
    <t xml:space="preserve">Fondamentale per calibrazione corretta (vedi domanda 1)</t>
  </si>
  <si>
    <t xml:space="preserve">Dual-fuel: TechInputSplit</t>
  </si>
  <si>
    <t xml:space="preserve">Per DUAL (HFO+MET, HFO+AMM) il DB ha due righe Efficiency (una per input_comm). La tua assunzione sul TechInputSplit è 50/50? Alcune fonti T&amp;E suggeriscono 95% fuel primario + 5% pilot MDO in ammonia/methanol engines.</t>
  </si>
  <si>
    <t xml:space="preserve">95/5 è più realistico — impatto marginale su efficiency globale</t>
  </si>
  <si>
    <t xml:space="preserve">📋 RIASSUNTO — DOMANDE BLOCKING (da chiarire prima dell'implementazione)</t>
  </si>
  <si>
    <t xml:space="preserve">BLOCKING (5 domande): #1, #2, #3, #4, #6, #11 — devono essere risolte prima del primo COMMIT SQL.
NON-BLOCKING (6 domande): possono essere decise in parallelo con lo sviluppo delle altre fasi.
📝 ORDINE SUGGERITO INCONTRO COL PROF:
  1. Presenta prima la domanda #1 + #11 + #4 (scope + mapping) — insieme chiariscono il disegno.
  2. Poi #2 + #3 (calibrazione base year + unità) — tecniche ma rapide.
  3. Poi #6 + #7 (modal shift + vincoli) — core del progetto.
  4. Tutte le altre possono essere delegate a email/follow-up.
⏱️  TEMPO STIMATO INCONTRO: 45-60 minuti se prof ha il DB sotto mano.
📎 MATERIALI DA PORTARE: questo workbook (fogli 09, 10, 12) + Transport.sql aperto in SQLite Browser.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</si>
</sst>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"/>
    <numFmt numFmtId="167" formatCode="0.000000"/>
    <numFmt numFmtId="168" formatCode="0"/>
    <numFmt numFmtId="169" formatCode="0.0000"/>
    <numFmt numFmtId="170" formatCode="0.000E+00"/>
    <numFmt numFmtId="171" formatCode="0.00E+00"/>
    <numFmt numFmtId="172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333333"/>
      <name val="Consolas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n">
        <v>1</v>
      </c>
      <c r="B6" s="5" t="s">
        <v>8</v>
      </c>
      <c r="C6" s="5" t="s">
        <v>9</v>
      </c>
      <c r="D6" s="5" t="s">
        <v>10</v>
      </c>
      <c r="E6" s="5" t="s">
        <v>11</v>
      </c>
    </row>
    <row r="7" customFormat="false" ht="15" hidden="false" customHeight="false" outlineLevel="0" collapsed="false">
      <c r="A7" s="5" t="n">
        <v>2</v>
      </c>
      <c r="B7" s="5" t="s">
        <v>12</v>
      </c>
      <c r="C7" s="5" t="s">
        <v>13</v>
      </c>
      <c r="D7" s="5" t="s">
        <v>10</v>
      </c>
      <c r="E7" s="5" t="s">
        <v>11</v>
      </c>
    </row>
    <row r="8" customFormat="false" ht="23.85" hidden="false" customHeight="false" outlineLevel="0" collapsed="false">
      <c r="A8" s="5" t="n">
        <v>3</v>
      </c>
      <c r="B8" s="5" t="s">
        <v>14</v>
      </c>
      <c r="C8" s="5" t="s">
        <v>15</v>
      </c>
      <c r="D8" s="5" t="s">
        <v>10</v>
      </c>
      <c r="E8" s="5" t="s">
        <v>11</v>
      </c>
    </row>
    <row r="9" customFormat="false" ht="15" hidden="false" customHeight="false" outlineLevel="0" collapsed="false">
      <c r="A9" s="5" t="n">
        <v>4</v>
      </c>
      <c r="B9" s="5" t="s">
        <v>16</v>
      </c>
      <c r="C9" s="5" t="s">
        <v>17</v>
      </c>
      <c r="D9" s="5" t="s">
        <v>18</v>
      </c>
      <c r="E9" s="5" t="s">
        <v>11</v>
      </c>
    </row>
    <row r="10" customFormat="false" ht="15" hidden="false" customHeight="false" outlineLevel="0" collapsed="false">
      <c r="A10" s="5" t="n">
        <v>5</v>
      </c>
      <c r="B10" s="5" t="s">
        <v>19</v>
      </c>
      <c r="C10" s="5" t="s">
        <v>20</v>
      </c>
      <c r="D10" s="5" t="s">
        <v>18</v>
      </c>
      <c r="E10" s="5" t="s">
        <v>11</v>
      </c>
    </row>
    <row r="11" customFormat="false" ht="15" hidden="false" customHeight="false" outlineLevel="0" collapsed="false">
      <c r="A11" s="5" t="n">
        <v>6</v>
      </c>
      <c r="B11" s="5" t="s">
        <v>21</v>
      </c>
      <c r="C11" s="5" t="s">
        <v>22</v>
      </c>
      <c r="D11" s="5" t="s">
        <v>23</v>
      </c>
      <c r="E11" s="5" t="s">
        <v>11</v>
      </c>
    </row>
    <row r="12" customFormat="false" ht="15" hidden="false" customHeight="false" outlineLevel="0" collapsed="false">
      <c r="A12" s="5" t="n">
        <v>7</v>
      </c>
      <c r="B12" s="5" t="s">
        <v>24</v>
      </c>
      <c r="C12" s="5" t="s">
        <v>25</v>
      </c>
      <c r="D12" s="5" t="s">
        <v>23</v>
      </c>
      <c r="E12" s="5" t="s">
        <v>11</v>
      </c>
    </row>
    <row r="13" customFormat="false" ht="15" hidden="false" customHeight="false" outlineLevel="0" collapsed="false">
      <c r="A13" s="5" t="n">
        <v>8</v>
      </c>
      <c r="B13" s="5" t="s">
        <v>26</v>
      </c>
      <c r="C13" s="5" t="s">
        <v>27</v>
      </c>
      <c r="D13" s="5" t="s">
        <v>23</v>
      </c>
      <c r="E13" s="5" t="s">
        <v>11</v>
      </c>
    </row>
    <row r="14" customFormat="false" ht="23.85" hidden="false" customHeight="false" outlineLevel="0" collapsed="false">
      <c r="A14" s="5" t="n">
        <v>9</v>
      </c>
      <c r="B14" s="5" t="s">
        <v>28</v>
      </c>
      <c r="C14" s="5" t="s">
        <v>29</v>
      </c>
      <c r="D14" s="5" t="s">
        <v>23</v>
      </c>
      <c r="E14" s="5" t="s">
        <v>11</v>
      </c>
    </row>
    <row r="15" customFormat="false" ht="23.85" hidden="false" customHeight="false" outlineLevel="0" collapsed="false">
      <c r="A15" s="5" t="n">
        <v>10</v>
      </c>
      <c r="B15" s="5" t="s">
        <v>30</v>
      </c>
      <c r="C15" s="5" t="s">
        <v>31</v>
      </c>
      <c r="D15" s="5" t="s">
        <v>32</v>
      </c>
      <c r="E15" s="5" t="s">
        <v>11</v>
      </c>
    </row>
    <row r="16" customFormat="false" ht="23.85" hidden="false" customHeight="false" outlineLevel="0" collapsed="false">
      <c r="A16" s="5" t="n">
        <v>11</v>
      </c>
      <c r="B16" s="5" t="s">
        <v>33</v>
      </c>
      <c r="C16" s="5" t="s">
        <v>34</v>
      </c>
      <c r="D16" s="5" t="s">
        <v>32</v>
      </c>
      <c r="E16" s="5" t="s">
        <v>11</v>
      </c>
    </row>
    <row r="17" customFormat="false" ht="15" hidden="false" customHeight="false" outlineLevel="0" collapsed="false">
      <c r="A17" s="5" t="n">
        <v>12</v>
      </c>
      <c r="B17" s="5" t="s">
        <v>35</v>
      </c>
      <c r="C17" s="5" t="s">
        <v>36</v>
      </c>
      <c r="D17" s="5" t="s">
        <v>37</v>
      </c>
      <c r="E17" s="5" t="s">
        <v>11</v>
      </c>
    </row>
    <row r="18" customFormat="false" ht="15" hidden="false" customHeight="false" outlineLevel="0" collapsed="false">
      <c r="A18" s="5" t="n">
        <v>13</v>
      </c>
      <c r="B18" s="5" t="s">
        <v>38</v>
      </c>
      <c r="C18" s="5" t="s">
        <v>39</v>
      </c>
      <c r="D18" s="5" t="s">
        <v>40</v>
      </c>
      <c r="E18" s="5" t="s">
        <v>11</v>
      </c>
    </row>
    <row r="19" customFormat="false" ht="15" hidden="false" customHeight="false" outlineLevel="0" collapsed="false">
      <c r="A19" s="5" t="n">
        <v>14</v>
      </c>
      <c r="B19" s="5" t="s">
        <v>41</v>
      </c>
      <c r="C19" s="5" t="s">
        <v>42</v>
      </c>
      <c r="D19" s="5" t="s">
        <v>10</v>
      </c>
      <c r="E19" s="5" t="s">
        <v>11</v>
      </c>
    </row>
    <row r="22" customFormat="false" ht="15" hidden="false" customHeight="false" outlineLevel="0" collapsed="false">
      <c r="A22" s="6" t="s">
        <v>43</v>
      </c>
      <c r="B22" s="6"/>
      <c r="C22" s="6"/>
      <c r="D22" s="6"/>
      <c r="E22" s="6"/>
    </row>
    <row r="23" customFormat="false" ht="23.85" hidden="false" customHeight="false" outlineLevel="0" collapsed="false">
      <c r="A23" s="7" t="s">
        <v>44</v>
      </c>
      <c r="B23" s="7" t="s">
        <v>45</v>
      </c>
      <c r="C23" s="7" t="s">
        <v>46</v>
      </c>
      <c r="D23" s="7" t="s">
        <v>47</v>
      </c>
      <c r="E23" s="7" t="s">
        <v>48</v>
      </c>
    </row>
    <row r="24" customFormat="false" ht="15" hidden="false" customHeight="false" outlineLevel="0" collapsed="false">
      <c r="A24" s="8" t="s">
        <v>49</v>
      </c>
      <c r="B24" s="8" t="n">
        <v>0.000292</v>
      </c>
      <c r="C24" s="8" t="n">
        <v>0.311</v>
      </c>
      <c r="D24" s="8" t="s">
        <v>50</v>
      </c>
      <c r="E24" s="8" t="s">
        <v>51</v>
      </c>
    </row>
    <row r="25" customFormat="false" ht="15" hidden="false" customHeight="false" outlineLevel="0" collapsed="false">
      <c r="A25" s="8" t="s">
        <v>52</v>
      </c>
      <c r="B25" s="8" t="n">
        <v>0.0476</v>
      </c>
      <c r="C25" s="8" t="n">
        <v>0.044</v>
      </c>
      <c r="D25" s="8" t="s">
        <v>53</v>
      </c>
      <c r="E25" s="8" t="s">
        <v>54</v>
      </c>
    </row>
    <row r="26" customFormat="false" ht="15" hidden="false" customHeight="false" outlineLevel="0" collapsed="false">
      <c r="A26" s="8" t="s">
        <v>55</v>
      </c>
      <c r="B26" s="8" t="n">
        <v>0.002639</v>
      </c>
      <c r="C26" s="8" t="n">
        <v>0.000171</v>
      </c>
      <c r="D26" s="9" t="s">
        <v>56</v>
      </c>
      <c r="E26" s="8" t="s">
        <v>57</v>
      </c>
    </row>
    <row r="27" customFormat="false" ht="15" hidden="false" customHeight="false" outlineLevel="0" collapsed="false">
      <c r="A27" s="8" t="s">
        <v>58</v>
      </c>
      <c r="B27" s="8" t="n">
        <v>0.002757</v>
      </c>
      <c r="C27" s="8" t="n">
        <v>0.000171</v>
      </c>
      <c r="D27" s="9" t="s">
        <v>59</v>
      </c>
      <c r="E27" s="8" t="s">
        <v>60</v>
      </c>
    </row>
    <row r="28" customFormat="false" ht="15" hidden="false" customHeight="false" outlineLevel="0" collapsed="false">
      <c r="A28" s="8" t="s">
        <v>61</v>
      </c>
      <c r="B28" s="8" t="n">
        <v>0.003002</v>
      </c>
      <c r="C28" s="8" t="n">
        <v>8.91E-005</v>
      </c>
      <c r="D28" s="9" t="s">
        <v>62</v>
      </c>
      <c r="E28" s="8" t="s">
        <v>60</v>
      </c>
    </row>
    <row r="29" customFormat="false" ht="15" hidden="false" customHeight="false" outlineLevel="0" collapsed="false">
      <c r="A29" s="8" t="s">
        <v>63</v>
      </c>
      <c r="B29" s="8" t="n">
        <v>0.01894</v>
      </c>
      <c r="C29" s="8" t="n">
        <v>0.00753</v>
      </c>
      <c r="D29" s="9" t="s">
        <v>64</v>
      </c>
      <c r="E29" s="8" t="s">
        <v>65</v>
      </c>
    </row>
    <row r="31" customFormat="false" ht="15" hidden="false" customHeight="false" outlineLevel="0" collapsed="false">
      <c r="A31" s="3" t="s">
        <v>66</v>
      </c>
      <c r="B31" s="3"/>
      <c r="C31" s="3"/>
      <c r="D31" s="3"/>
      <c r="E31" s="3"/>
    </row>
  </sheetData>
  <mergeCells count="5">
    <mergeCell ref="A1:J1"/>
    <mergeCell ref="A2:J2"/>
    <mergeCell ref="A3:J3"/>
    <mergeCell ref="A22:E22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6" min="4" style="0" width="28"/>
    <col collapsed="false" customWidth="true" hidden="false" outlineLevel="0" max="7" min="7" style="0" width="8"/>
  </cols>
  <sheetData>
    <row r="1" customFormat="false" ht="24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6" t="s">
        <v>68</v>
      </c>
      <c r="B3" s="6"/>
      <c r="C3" s="6"/>
      <c r="D3" s="6"/>
      <c r="E3" s="6"/>
      <c r="F3" s="6"/>
      <c r="G3" s="6"/>
    </row>
    <row r="4" customFormat="false" ht="69.75" hidden="false" customHeight="true" outlineLevel="0" collapsed="false">
      <c r="A4" s="10" t="s">
        <v>69</v>
      </c>
      <c r="B4" s="10"/>
      <c r="C4" s="10"/>
      <c r="D4" s="10"/>
      <c r="E4" s="10"/>
      <c r="F4" s="10"/>
      <c r="G4" s="10"/>
    </row>
    <row r="6" customFormat="false" ht="15" hidden="false" customHeight="false" outlineLevel="0" collapsed="false">
      <c r="A6" s="6" t="s">
        <v>70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 t="s">
        <v>71</v>
      </c>
      <c r="B7" s="7" t="s">
        <v>72</v>
      </c>
      <c r="C7" s="7" t="s">
        <v>73</v>
      </c>
      <c r="D7" s="7" t="s">
        <v>74</v>
      </c>
      <c r="E7" s="7" t="s">
        <v>75</v>
      </c>
      <c r="F7" s="7" t="s">
        <v>76</v>
      </c>
    </row>
    <row r="8" customFormat="false" ht="15" hidden="false" customHeight="false" outlineLevel="0" collapsed="false">
      <c r="A8" s="5" t="s">
        <v>77</v>
      </c>
      <c r="B8" s="5" t="s">
        <v>78</v>
      </c>
      <c r="C8" s="5" t="s">
        <v>79</v>
      </c>
      <c r="D8" s="5" t="s">
        <v>80</v>
      </c>
      <c r="E8" s="5" t="s">
        <v>81</v>
      </c>
      <c r="F8" s="5" t="s">
        <v>82</v>
      </c>
    </row>
    <row r="9" customFormat="false" ht="15" hidden="false" customHeight="false" outlineLevel="0" collapsed="false">
      <c r="A9" s="5" t="s">
        <v>83</v>
      </c>
      <c r="B9" s="5" t="s">
        <v>84</v>
      </c>
      <c r="C9" s="5" t="s">
        <v>85</v>
      </c>
      <c r="D9" s="5" t="s">
        <v>86</v>
      </c>
      <c r="E9" s="5" t="s">
        <v>87</v>
      </c>
      <c r="F9" s="5" t="s">
        <v>88</v>
      </c>
    </row>
    <row r="10" customFormat="false" ht="15" hidden="false" customHeight="false" outlineLevel="0" collapsed="false">
      <c r="A10" s="5" t="s">
        <v>89</v>
      </c>
      <c r="B10" s="5" t="s">
        <v>90</v>
      </c>
      <c r="C10" s="5" t="s">
        <v>91</v>
      </c>
      <c r="D10" s="5" t="s">
        <v>92</v>
      </c>
      <c r="E10" s="5" t="s">
        <v>93</v>
      </c>
      <c r="F10" s="5" t="s">
        <v>94</v>
      </c>
    </row>
    <row r="11" customFormat="false" ht="15" hidden="false" customHeight="false" outlineLevel="0" collapsed="false">
      <c r="A11" s="5" t="s">
        <v>95</v>
      </c>
      <c r="B11" s="5" t="s">
        <v>96</v>
      </c>
      <c r="C11" s="5" t="s">
        <v>97</v>
      </c>
      <c r="D11" s="5" t="s">
        <v>98</v>
      </c>
      <c r="E11" s="5" t="s">
        <v>99</v>
      </c>
      <c r="F11" s="5" t="s">
        <v>100</v>
      </c>
    </row>
    <row r="12" customFormat="false" ht="23.85" hidden="false" customHeight="false" outlineLevel="0" collapsed="false">
      <c r="A12" s="5" t="s">
        <v>101</v>
      </c>
      <c r="B12" s="5" t="s">
        <v>102</v>
      </c>
      <c r="C12" s="5" t="s">
        <v>97</v>
      </c>
      <c r="D12" s="5" t="s">
        <v>103</v>
      </c>
      <c r="E12" s="5" t="s">
        <v>104</v>
      </c>
      <c r="F12" s="5" t="s">
        <v>105</v>
      </c>
    </row>
    <row r="13" customFormat="false" ht="15" hidden="false" customHeight="false" outlineLevel="0" collapsed="false">
      <c r="A13" s="5" t="s">
        <v>106</v>
      </c>
      <c r="B13" s="5" t="s">
        <v>107</v>
      </c>
      <c r="C13" s="5" t="s">
        <v>108</v>
      </c>
      <c r="D13" s="5" t="s">
        <v>99</v>
      </c>
      <c r="E13" s="5" t="s">
        <v>109</v>
      </c>
      <c r="F13" s="5" t="s">
        <v>110</v>
      </c>
    </row>
    <row r="14" customFormat="false" ht="15" hidden="false" customHeight="false" outlineLevel="0" collapsed="false">
      <c r="A14" s="5" t="s">
        <v>111</v>
      </c>
      <c r="B14" s="5" t="s">
        <v>112</v>
      </c>
      <c r="C14" s="5" t="s">
        <v>113</v>
      </c>
      <c r="D14" s="5" t="s">
        <v>99</v>
      </c>
      <c r="E14" s="5" t="s">
        <v>114</v>
      </c>
      <c r="F14" s="5" t="s">
        <v>115</v>
      </c>
    </row>
    <row r="15" customFormat="false" ht="15" hidden="false" customHeight="false" outlineLevel="0" collapsed="false">
      <c r="A15" s="5" t="s">
        <v>116</v>
      </c>
      <c r="B15" s="5" t="s">
        <v>117</v>
      </c>
      <c r="C15" s="5" t="s">
        <v>91</v>
      </c>
      <c r="D15" s="5" t="s">
        <v>118</v>
      </c>
      <c r="E15" s="5" t="s">
        <v>119</v>
      </c>
      <c r="F15" s="5" t="s">
        <v>120</v>
      </c>
    </row>
    <row r="18" customFormat="false" ht="15" hidden="false" customHeight="false" outlineLevel="0" collapsed="false">
      <c r="A18" s="6" t="s">
        <v>121</v>
      </c>
      <c r="B18" s="6"/>
      <c r="C18" s="6"/>
      <c r="D18" s="6"/>
      <c r="E18" s="6"/>
      <c r="F18" s="6"/>
      <c r="G18" s="6"/>
    </row>
    <row r="19" customFormat="false" ht="120" hidden="false" customHeight="true" outlineLevel="0" collapsed="false">
      <c r="A19" s="10" t="s">
        <v>122</v>
      </c>
      <c r="B19" s="10"/>
      <c r="C19" s="10"/>
      <c r="D19" s="10"/>
      <c r="E19" s="10"/>
      <c r="F19" s="10"/>
      <c r="G19" s="10"/>
    </row>
    <row r="21" customFormat="false" ht="15" hidden="false" customHeight="false" outlineLevel="0" collapsed="false">
      <c r="A21" s="6" t="s">
        <v>123</v>
      </c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5" t="s">
        <v>124</v>
      </c>
      <c r="B22" s="5" t="s">
        <v>125</v>
      </c>
      <c r="C22" s="5" t="s">
        <v>126</v>
      </c>
      <c r="D22" s="5" t="s">
        <v>127</v>
      </c>
    </row>
    <row r="23" customFormat="false" ht="35.05" hidden="false" customHeight="false" outlineLevel="0" collapsed="false">
      <c r="A23" s="5" t="s">
        <v>128</v>
      </c>
      <c r="B23" s="5" t="s">
        <v>125</v>
      </c>
      <c r="C23" s="5" t="s">
        <v>129</v>
      </c>
      <c r="D23" s="5" t="s">
        <v>130</v>
      </c>
    </row>
    <row r="24" customFormat="false" ht="15" hidden="false" customHeight="false" outlineLevel="0" collapsed="false">
      <c r="A24" s="5" t="s">
        <v>131</v>
      </c>
      <c r="B24" s="5" t="s">
        <v>125</v>
      </c>
      <c r="C24" s="5" t="s">
        <v>132</v>
      </c>
      <c r="D24" s="5" t="s">
        <v>133</v>
      </c>
    </row>
    <row r="25" customFormat="false" ht="35.05" hidden="false" customHeight="false" outlineLevel="0" collapsed="false">
      <c r="A25" s="5" t="s">
        <v>134</v>
      </c>
      <c r="B25" s="5" t="s">
        <v>125</v>
      </c>
      <c r="C25" s="5" t="s">
        <v>135</v>
      </c>
      <c r="D25" s="5" t="s">
        <v>136</v>
      </c>
    </row>
    <row r="26" customFormat="false" ht="35.05" hidden="false" customHeight="false" outlineLevel="0" collapsed="false">
      <c r="A26" s="5" t="s">
        <v>137</v>
      </c>
      <c r="B26" s="5" t="s">
        <v>125</v>
      </c>
      <c r="C26" s="5" t="s">
        <v>138</v>
      </c>
      <c r="D26" s="5" t="s">
        <v>139</v>
      </c>
    </row>
    <row r="27" customFormat="false" ht="35.05" hidden="false" customHeight="false" outlineLevel="0" collapsed="false">
      <c r="A27" s="5" t="s">
        <v>140</v>
      </c>
      <c r="B27" s="5" t="s">
        <v>125</v>
      </c>
      <c r="C27" s="5" t="s">
        <v>141</v>
      </c>
      <c r="D27" s="5" t="s">
        <v>142</v>
      </c>
    </row>
    <row r="28" customFormat="false" ht="46.25" hidden="false" customHeight="false" outlineLevel="0" collapsed="false">
      <c r="A28" s="5" t="s">
        <v>143</v>
      </c>
      <c r="B28" s="5" t="s">
        <v>125</v>
      </c>
      <c r="C28" s="5" t="s">
        <v>144</v>
      </c>
      <c r="D28" s="5" t="s">
        <v>145</v>
      </c>
    </row>
    <row r="29" customFormat="false" ht="57.45" hidden="false" customHeight="false" outlineLevel="0" collapsed="false">
      <c r="A29" s="5" t="s">
        <v>146</v>
      </c>
      <c r="B29" s="5" t="s">
        <v>125</v>
      </c>
      <c r="C29" s="5" t="s">
        <v>147</v>
      </c>
      <c r="D29" s="5" t="s">
        <v>148</v>
      </c>
    </row>
  </sheetData>
  <mergeCells count="7">
    <mergeCell ref="A1:J1"/>
    <mergeCell ref="A3:G3"/>
    <mergeCell ref="A4:G4"/>
    <mergeCell ref="A6:G6"/>
    <mergeCell ref="A18:G18"/>
    <mergeCell ref="A19:G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5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24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6" t="s">
        <v>150</v>
      </c>
      <c r="B3" s="6"/>
      <c r="C3" s="6"/>
      <c r="D3" s="6"/>
      <c r="E3" s="6"/>
    </row>
    <row r="4" customFormat="false" ht="15" hidden="false" customHeight="false" outlineLevel="0" collapsed="false">
      <c r="A4" s="7" t="s">
        <v>151</v>
      </c>
      <c r="B4" s="7" t="s">
        <v>5</v>
      </c>
      <c r="C4" s="7" t="s">
        <v>73</v>
      </c>
      <c r="D4" s="7" t="s">
        <v>152</v>
      </c>
      <c r="E4" s="7" t="s">
        <v>153</v>
      </c>
    </row>
    <row r="5" customFormat="false" ht="23.85" hidden="false" customHeight="false" outlineLevel="0" collapsed="false">
      <c r="A5" s="5" t="s">
        <v>154</v>
      </c>
      <c r="B5" s="5" t="s">
        <v>155</v>
      </c>
      <c r="C5" s="5" t="s">
        <v>156</v>
      </c>
      <c r="D5" s="5" t="s">
        <v>157</v>
      </c>
      <c r="E5" s="5" t="s">
        <v>158</v>
      </c>
    </row>
    <row r="6" customFormat="false" ht="23.85" hidden="false" customHeight="false" outlineLevel="0" collapsed="false">
      <c r="A6" s="5" t="s">
        <v>159</v>
      </c>
      <c r="B6" s="5" t="s">
        <v>160</v>
      </c>
      <c r="C6" s="5" t="s">
        <v>161</v>
      </c>
      <c r="D6" s="5" t="s">
        <v>162</v>
      </c>
      <c r="E6" s="5" t="s">
        <v>163</v>
      </c>
    </row>
    <row r="7" customFormat="false" ht="15" hidden="false" customHeight="false" outlineLevel="0" collapsed="false">
      <c r="A7" s="5" t="s">
        <v>164</v>
      </c>
      <c r="B7" s="5" t="s">
        <v>165</v>
      </c>
      <c r="C7" s="5" t="s">
        <v>166</v>
      </c>
      <c r="D7" s="5" t="s">
        <v>167</v>
      </c>
      <c r="E7" s="5" t="s">
        <v>168</v>
      </c>
    </row>
    <row r="8" customFormat="false" ht="15" hidden="false" customHeight="false" outlineLevel="0" collapsed="false">
      <c r="A8" s="5" t="s">
        <v>169</v>
      </c>
      <c r="B8" s="5" t="s">
        <v>170</v>
      </c>
      <c r="C8" s="5" t="s">
        <v>171</v>
      </c>
      <c r="D8" s="5" t="s">
        <v>167</v>
      </c>
      <c r="E8" s="5" t="s">
        <v>172</v>
      </c>
    </row>
    <row r="9" customFormat="false" ht="23.85" hidden="false" customHeight="false" outlineLevel="0" collapsed="false">
      <c r="A9" s="5" t="s">
        <v>173</v>
      </c>
      <c r="B9" s="5" t="s">
        <v>174</v>
      </c>
      <c r="C9" s="5" t="s">
        <v>175</v>
      </c>
      <c r="D9" s="5" t="s">
        <v>162</v>
      </c>
      <c r="E9" s="5" t="s">
        <v>176</v>
      </c>
    </row>
    <row r="10" customFormat="false" ht="15" hidden="false" customHeight="false" outlineLevel="0" collapsed="false">
      <c r="A10" s="5" t="s">
        <v>177</v>
      </c>
      <c r="B10" s="5" t="s">
        <v>178</v>
      </c>
      <c r="C10" s="5" t="s">
        <v>179</v>
      </c>
      <c r="D10" s="5" t="s">
        <v>167</v>
      </c>
      <c r="E10" s="5" t="s">
        <v>180</v>
      </c>
    </row>
    <row r="11" customFormat="false" ht="15" hidden="false" customHeight="false" outlineLevel="0" collapsed="false">
      <c r="A11" s="5" t="s">
        <v>181</v>
      </c>
      <c r="B11" s="5" t="s">
        <v>182</v>
      </c>
      <c r="C11" s="5" t="s">
        <v>179</v>
      </c>
      <c r="D11" s="5" t="s">
        <v>167</v>
      </c>
      <c r="E11" s="5" t="s">
        <v>183</v>
      </c>
    </row>
    <row r="12" customFormat="false" ht="23.85" hidden="false" customHeight="false" outlineLevel="0" collapsed="false">
      <c r="A12" s="5" t="s">
        <v>184</v>
      </c>
      <c r="B12" s="5" t="s">
        <v>185</v>
      </c>
      <c r="C12" s="5" t="s">
        <v>186</v>
      </c>
      <c r="D12" s="5" t="s">
        <v>187</v>
      </c>
      <c r="E12" s="5" t="s">
        <v>188</v>
      </c>
    </row>
    <row r="13" customFormat="false" ht="15" hidden="false" customHeight="false" outlineLevel="0" collapsed="false">
      <c r="A13" s="5" t="s">
        <v>189</v>
      </c>
      <c r="B13" s="5" t="s">
        <v>190</v>
      </c>
      <c r="C13" s="5" t="s">
        <v>186</v>
      </c>
      <c r="D13" s="5" t="s">
        <v>167</v>
      </c>
      <c r="E13" s="5" t="s">
        <v>191</v>
      </c>
    </row>
    <row r="14" customFormat="false" ht="15" hidden="false" customHeight="false" outlineLevel="0" collapsed="false">
      <c r="A14" s="5" t="s">
        <v>192</v>
      </c>
      <c r="B14" s="5" t="s">
        <v>193</v>
      </c>
      <c r="C14" s="5" t="s">
        <v>194</v>
      </c>
      <c r="D14" s="5" t="s">
        <v>167</v>
      </c>
      <c r="E14" s="5" t="s">
        <v>195</v>
      </c>
    </row>
    <row r="17" customFormat="false" ht="15" hidden="false" customHeight="false" outlineLevel="0" collapsed="false">
      <c r="A17" s="6" t="s">
        <v>196</v>
      </c>
      <c r="B17" s="6"/>
      <c r="C17" s="6"/>
      <c r="D17" s="6"/>
      <c r="E17" s="6"/>
    </row>
    <row r="18" customFormat="false" ht="23.85" hidden="false" customHeight="false" outlineLevel="0" collapsed="false">
      <c r="A18" s="7" t="s">
        <v>76</v>
      </c>
      <c r="B18" s="7" t="s">
        <v>197</v>
      </c>
      <c r="C18" s="7" t="s">
        <v>5</v>
      </c>
      <c r="D18" s="7" t="s">
        <v>198</v>
      </c>
      <c r="E18" s="7" t="s">
        <v>153</v>
      </c>
    </row>
    <row r="19" customFormat="false" ht="23.85" hidden="false" customHeight="false" outlineLevel="0" collapsed="false">
      <c r="A19" s="5" t="s">
        <v>199</v>
      </c>
      <c r="B19" s="5" t="s">
        <v>200</v>
      </c>
      <c r="C19" s="5" t="s">
        <v>201</v>
      </c>
      <c r="D19" s="5" t="s">
        <v>202</v>
      </c>
      <c r="E19" s="5" t="s">
        <v>203</v>
      </c>
    </row>
    <row r="20" customFormat="false" ht="15" hidden="false" customHeight="false" outlineLevel="0" collapsed="false">
      <c r="A20" s="5" t="s">
        <v>199</v>
      </c>
      <c r="B20" s="5" t="s">
        <v>204</v>
      </c>
      <c r="C20" s="5" t="s">
        <v>205</v>
      </c>
      <c r="D20" s="5" t="s">
        <v>202</v>
      </c>
      <c r="E20" s="5" t="s">
        <v>203</v>
      </c>
    </row>
    <row r="21" customFormat="false" ht="15" hidden="false" customHeight="false" outlineLevel="0" collapsed="false">
      <c r="A21" s="5" t="s">
        <v>206</v>
      </c>
      <c r="B21" s="5" t="s">
        <v>207</v>
      </c>
      <c r="C21" s="5" t="s">
        <v>208</v>
      </c>
      <c r="D21" s="5" t="s">
        <v>209</v>
      </c>
      <c r="E21" s="5" t="s">
        <v>210</v>
      </c>
    </row>
    <row r="22" customFormat="false" ht="15" hidden="false" customHeight="false" outlineLevel="0" collapsed="false">
      <c r="A22" s="5" t="s">
        <v>211</v>
      </c>
      <c r="B22" s="5" t="s">
        <v>212</v>
      </c>
      <c r="C22" s="5" t="s">
        <v>213</v>
      </c>
      <c r="D22" s="5" t="s">
        <v>209</v>
      </c>
      <c r="E22" s="5" t="s">
        <v>214</v>
      </c>
    </row>
    <row r="23" customFormat="false" ht="15" hidden="false" customHeight="false" outlineLevel="0" collapsed="false">
      <c r="A23" s="5" t="s">
        <v>215</v>
      </c>
      <c r="B23" s="5" t="s">
        <v>216</v>
      </c>
      <c r="C23" s="5" t="s">
        <v>217</v>
      </c>
      <c r="D23" s="5" t="s">
        <v>209</v>
      </c>
      <c r="E23" s="5" t="s">
        <v>218</v>
      </c>
    </row>
    <row r="24" customFormat="false" ht="15" hidden="false" customHeight="false" outlineLevel="0" collapsed="false">
      <c r="A24" s="5" t="s">
        <v>219</v>
      </c>
      <c r="B24" s="5" t="s">
        <v>220</v>
      </c>
      <c r="C24" s="5" t="s">
        <v>221</v>
      </c>
      <c r="D24" s="5" t="s">
        <v>222</v>
      </c>
      <c r="E24" s="5" t="s">
        <v>223</v>
      </c>
    </row>
    <row r="25" customFormat="false" ht="15" hidden="false" customHeight="false" outlineLevel="0" collapsed="false">
      <c r="A25" s="5" t="s">
        <v>224</v>
      </c>
      <c r="B25" s="5" t="s">
        <v>225</v>
      </c>
      <c r="C25" s="5" t="s">
        <v>226</v>
      </c>
      <c r="D25" s="5" t="s">
        <v>209</v>
      </c>
      <c r="E25" s="5" t="s">
        <v>227</v>
      </c>
    </row>
    <row r="26" customFormat="false" ht="15" hidden="false" customHeight="false" outlineLevel="0" collapsed="false">
      <c r="A26" s="5" t="s">
        <v>228</v>
      </c>
      <c r="B26" s="5" t="s">
        <v>229</v>
      </c>
      <c r="C26" s="5" t="s">
        <v>230</v>
      </c>
      <c r="D26" s="5" t="s">
        <v>209</v>
      </c>
      <c r="E26" s="5" t="s">
        <v>231</v>
      </c>
    </row>
    <row r="29" customFormat="false" ht="15" hidden="false" customHeight="false" outlineLevel="0" collapsed="false">
      <c r="A29" s="6" t="s">
        <v>232</v>
      </c>
      <c r="B29" s="6"/>
      <c r="C29" s="6"/>
      <c r="D29" s="6"/>
      <c r="E29" s="6"/>
    </row>
    <row r="30" customFormat="false" ht="15" hidden="false" customHeight="false" outlineLevel="0" collapsed="false">
      <c r="A30" s="7" t="s">
        <v>76</v>
      </c>
      <c r="B30" s="7" t="s">
        <v>233</v>
      </c>
      <c r="C30" s="7" t="s">
        <v>5</v>
      </c>
      <c r="D30" s="7" t="s">
        <v>234</v>
      </c>
      <c r="E30" s="7" t="s">
        <v>235</v>
      </c>
    </row>
    <row r="31" customFormat="false" ht="15" hidden="false" customHeight="false" outlineLevel="0" collapsed="false">
      <c r="A31" s="5" t="s">
        <v>236</v>
      </c>
      <c r="B31" s="5" t="s">
        <v>237</v>
      </c>
      <c r="C31" s="5" t="s">
        <v>238</v>
      </c>
      <c r="D31" s="5" t="s">
        <v>239</v>
      </c>
      <c r="E31" s="5" t="s">
        <v>240</v>
      </c>
    </row>
    <row r="32" customFormat="false" ht="23.85" hidden="false" customHeight="false" outlineLevel="0" collapsed="false">
      <c r="A32" s="5" t="s">
        <v>241</v>
      </c>
      <c r="B32" s="5" t="s">
        <v>242</v>
      </c>
      <c r="C32" s="5" t="s">
        <v>243</v>
      </c>
      <c r="D32" s="5" t="s">
        <v>244</v>
      </c>
      <c r="E32" s="5" t="s">
        <v>245</v>
      </c>
    </row>
    <row r="33" customFormat="false" ht="15" hidden="false" customHeight="false" outlineLevel="0" collapsed="false">
      <c r="A33" s="5" t="s">
        <v>246</v>
      </c>
      <c r="B33" s="5" t="s">
        <v>247</v>
      </c>
      <c r="C33" s="5" t="s">
        <v>248</v>
      </c>
      <c r="D33" s="5" t="s">
        <v>249</v>
      </c>
      <c r="E33" s="5" t="s">
        <v>250</v>
      </c>
    </row>
    <row r="34" customFormat="false" ht="23.85" hidden="false" customHeight="false" outlineLevel="0" collapsed="false">
      <c r="A34" s="5" t="s">
        <v>251</v>
      </c>
      <c r="B34" s="5" t="s">
        <v>252</v>
      </c>
      <c r="C34" s="5" t="s">
        <v>253</v>
      </c>
      <c r="D34" s="5" t="s">
        <v>239</v>
      </c>
      <c r="E34" s="5" t="s">
        <v>254</v>
      </c>
    </row>
    <row r="35" customFormat="false" ht="15" hidden="false" customHeight="false" outlineLevel="0" collapsed="false">
      <c r="A35" s="5" t="s">
        <v>255</v>
      </c>
      <c r="B35" s="5" t="s">
        <v>252</v>
      </c>
      <c r="C35" s="5" t="s">
        <v>256</v>
      </c>
      <c r="D35" s="5" t="s">
        <v>244</v>
      </c>
      <c r="E35" s="5" t="s">
        <v>257</v>
      </c>
    </row>
    <row r="36" customFormat="false" ht="15" hidden="false" customHeight="false" outlineLevel="0" collapsed="false">
      <c r="A36" s="5" t="s">
        <v>258</v>
      </c>
      <c r="B36" s="5" t="s">
        <v>259</v>
      </c>
      <c r="C36" s="5" t="s">
        <v>260</v>
      </c>
      <c r="D36" s="5" t="s">
        <v>261</v>
      </c>
      <c r="E36" s="5" t="s">
        <v>262</v>
      </c>
    </row>
    <row r="37" customFormat="false" ht="15" hidden="false" customHeight="false" outlineLevel="0" collapsed="false">
      <c r="A37" s="5" t="s">
        <v>263</v>
      </c>
      <c r="B37" s="5" t="s">
        <v>264</v>
      </c>
      <c r="C37" s="5" t="s">
        <v>265</v>
      </c>
      <c r="D37" s="5" t="s">
        <v>266</v>
      </c>
      <c r="E37" s="5" t="s">
        <v>267</v>
      </c>
    </row>
    <row r="38" customFormat="false" ht="23.85" hidden="false" customHeight="false" outlineLevel="0" collapsed="false">
      <c r="A38" s="5" t="s">
        <v>268</v>
      </c>
      <c r="B38" s="5" t="s">
        <v>269</v>
      </c>
      <c r="C38" s="5" t="s">
        <v>270</v>
      </c>
      <c r="D38" s="5" t="s">
        <v>271</v>
      </c>
      <c r="E38" s="5" t="s">
        <v>272</v>
      </c>
    </row>
    <row r="39" customFormat="false" ht="23.85" hidden="false" customHeight="false" outlineLevel="0" collapsed="false">
      <c r="A39" s="5" t="s">
        <v>273</v>
      </c>
      <c r="B39" s="5" t="s">
        <v>274</v>
      </c>
      <c r="C39" s="5" t="s">
        <v>275</v>
      </c>
      <c r="D39" s="5" t="s">
        <v>276</v>
      </c>
      <c r="E39" s="5" t="s">
        <v>277</v>
      </c>
    </row>
    <row r="40" customFormat="false" ht="15" hidden="false" customHeight="false" outlineLevel="0" collapsed="false">
      <c r="A40" s="5" t="s">
        <v>278</v>
      </c>
      <c r="B40" s="5" t="s">
        <v>279</v>
      </c>
      <c r="C40" s="5" t="s">
        <v>280</v>
      </c>
      <c r="D40" s="5" t="s">
        <v>281</v>
      </c>
      <c r="E40" s="5" t="s">
        <v>282</v>
      </c>
    </row>
    <row r="41" customFormat="false" ht="15" hidden="false" customHeight="false" outlineLevel="0" collapsed="false">
      <c r="A41" s="5" t="s">
        <v>283</v>
      </c>
      <c r="B41" s="5" t="s">
        <v>284</v>
      </c>
      <c r="C41" s="5" t="s">
        <v>285</v>
      </c>
      <c r="D41" s="5" t="s">
        <v>286</v>
      </c>
      <c r="E41" s="5" t="s">
        <v>287</v>
      </c>
    </row>
    <row r="42" customFormat="false" ht="23.85" hidden="false" customHeight="false" outlineLevel="0" collapsed="false">
      <c r="A42" s="5" t="s">
        <v>288</v>
      </c>
      <c r="B42" s="5" t="s">
        <v>289</v>
      </c>
      <c r="C42" s="5" t="s">
        <v>290</v>
      </c>
      <c r="D42" s="5" t="s">
        <v>239</v>
      </c>
      <c r="E42" s="5" t="s">
        <v>291</v>
      </c>
    </row>
    <row r="43" customFormat="false" ht="15" hidden="false" customHeight="false" outlineLevel="0" collapsed="false">
      <c r="A43" s="5" t="s">
        <v>292</v>
      </c>
      <c r="B43" s="5" t="s">
        <v>279</v>
      </c>
      <c r="C43" s="5" t="s">
        <v>293</v>
      </c>
      <c r="D43" s="5" t="s">
        <v>244</v>
      </c>
      <c r="E43" s="5" t="s">
        <v>294</v>
      </c>
    </row>
    <row r="44" customFormat="false" ht="15" hidden="false" customHeight="false" outlineLevel="0" collapsed="false">
      <c r="A44" s="5" t="s">
        <v>295</v>
      </c>
      <c r="B44" s="5" t="s">
        <v>279</v>
      </c>
      <c r="C44" s="5" t="s">
        <v>296</v>
      </c>
      <c r="D44" s="5" t="s">
        <v>297</v>
      </c>
      <c r="E44" s="5" t="s">
        <v>298</v>
      </c>
    </row>
  </sheetData>
  <mergeCells count="4">
    <mergeCell ref="A1:J1"/>
    <mergeCell ref="A3:E3"/>
    <mergeCell ref="A17:E17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6" t="s">
        <v>300</v>
      </c>
      <c r="B3" s="6"/>
      <c r="C3" s="6"/>
      <c r="D3" s="6"/>
      <c r="E3" s="6"/>
      <c r="F3" s="6"/>
      <c r="G3" s="6"/>
    </row>
    <row r="4" customFormat="false" ht="23.85" hidden="false" customHeight="false" outlineLevel="0" collapsed="false">
      <c r="A4" s="7" t="s">
        <v>301</v>
      </c>
      <c r="B4" s="7" t="s">
        <v>302</v>
      </c>
      <c r="C4" s="7" t="s">
        <v>303</v>
      </c>
      <c r="D4" s="7" t="s">
        <v>304</v>
      </c>
      <c r="E4" s="7" t="s">
        <v>305</v>
      </c>
      <c r="F4" s="7" t="s">
        <v>306</v>
      </c>
      <c r="G4" s="7" t="s">
        <v>307</v>
      </c>
    </row>
    <row r="5" customFormat="false" ht="15" hidden="false" customHeight="false" outlineLevel="0" collapsed="false">
      <c r="A5" s="5" t="s">
        <v>308</v>
      </c>
      <c r="B5" s="11" t="n">
        <v>43.1</v>
      </c>
      <c r="C5" s="11" t="n">
        <v>36</v>
      </c>
      <c r="D5" s="11"/>
      <c r="E5" s="11" t="n">
        <v>0.835</v>
      </c>
      <c r="F5" s="5" t="s">
        <v>309</v>
      </c>
      <c r="G5" s="5" t="s">
        <v>310</v>
      </c>
    </row>
    <row r="6" customFormat="false" ht="15" hidden="false" customHeight="false" outlineLevel="0" collapsed="false">
      <c r="A6" s="5" t="s">
        <v>311</v>
      </c>
      <c r="B6" s="11" t="n">
        <v>40.2</v>
      </c>
      <c r="C6" s="11" t="n">
        <v>39</v>
      </c>
      <c r="D6" s="11"/>
      <c r="E6" s="11" t="n">
        <v>0.96</v>
      </c>
      <c r="F6" s="5" t="s">
        <v>312</v>
      </c>
      <c r="G6" s="5" t="s">
        <v>313</v>
      </c>
    </row>
    <row r="7" customFormat="false" ht="15" hidden="false" customHeight="false" outlineLevel="0" collapsed="false">
      <c r="A7" s="5" t="s">
        <v>314</v>
      </c>
      <c r="B7" s="11" t="n">
        <v>41</v>
      </c>
      <c r="C7" s="11" t="n">
        <v>39.5</v>
      </c>
      <c r="D7" s="11"/>
      <c r="E7" s="11" t="n">
        <v>0.96</v>
      </c>
      <c r="F7" s="5" t="s">
        <v>312</v>
      </c>
      <c r="G7" s="5" t="s">
        <v>315</v>
      </c>
    </row>
    <row r="8" customFormat="false" ht="15" hidden="false" customHeight="false" outlineLevel="0" collapsed="false">
      <c r="A8" s="5" t="s">
        <v>316</v>
      </c>
      <c r="B8" s="11" t="n">
        <v>42.7</v>
      </c>
      <c r="C8" s="11" t="n">
        <v>36.5</v>
      </c>
      <c r="D8" s="11"/>
      <c r="E8" s="11" t="n">
        <v>0.855</v>
      </c>
      <c r="F8" s="5" t="s">
        <v>309</v>
      </c>
      <c r="G8" s="5" t="s">
        <v>317</v>
      </c>
    </row>
    <row r="9" customFormat="false" ht="15" hidden="false" customHeight="false" outlineLevel="0" collapsed="false">
      <c r="A9" s="5" t="s">
        <v>318</v>
      </c>
      <c r="B9" s="11" t="n">
        <v>50</v>
      </c>
      <c r="C9" s="11" t="n">
        <v>22</v>
      </c>
      <c r="D9" s="11" t="n">
        <v>35.8</v>
      </c>
      <c r="E9" s="11" t="n">
        <v>0.44</v>
      </c>
      <c r="F9" s="5" t="s">
        <v>318</v>
      </c>
      <c r="G9" s="5" t="s">
        <v>319</v>
      </c>
    </row>
    <row r="10" customFormat="false" ht="15" hidden="false" customHeight="false" outlineLevel="0" collapsed="false">
      <c r="A10" s="5" t="s">
        <v>320</v>
      </c>
      <c r="B10" s="11" t="n">
        <v>50</v>
      </c>
      <c r="C10" s="11"/>
      <c r="D10" s="11" t="n">
        <v>35.8</v>
      </c>
      <c r="E10" s="11" t="n">
        <v>0.72</v>
      </c>
      <c r="F10" s="5" t="s">
        <v>320</v>
      </c>
      <c r="G10" s="5" t="s">
        <v>321</v>
      </c>
    </row>
    <row r="11" customFormat="false" ht="15" hidden="false" customHeight="false" outlineLevel="0" collapsed="false">
      <c r="A11" s="5" t="s">
        <v>322</v>
      </c>
      <c r="B11" s="11" t="n">
        <v>50</v>
      </c>
      <c r="C11" s="11"/>
      <c r="D11" s="11" t="n">
        <v>35.8</v>
      </c>
      <c r="E11" s="11"/>
      <c r="F11" s="5" t="s">
        <v>323</v>
      </c>
      <c r="G11" s="5" t="s">
        <v>324</v>
      </c>
    </row>
    <row r="12" customFormat="false" ht="15" hidden="false" customHeight="false" outlineLevel="0" collapsed="false">
      <c r="A12" s="5" t="s">
        <v>325</v>
      </c>
      <c r="B12" s="11" t="n">
        <v>120</v>
      </c>
      <c r="C12" s="11" t="n">
        <v>8.5</v>
      </c>
      <c r="D12" s="11" t="n">
        <v>12.7</v>
      </c>
      <c r="E12" s="11" t="n">
        <v>0.071</v>
      </c>
      <c r="F12" s="5" t="s">
        <v>326</v>
      </c>
      <c r="G12" s="5" t="s">
        <v>327</v>
      </c>
    </row>
    <row r="13" customFormat="false" ht="15" hidden="false" customHeight="false" outlineLevel="0" collapsed="false">
      <c r="A13" s="5" t="s">
        <v>328</v>
      </c>
      <c r="B13" s="11" t="n">
        <v>120</v>
      </c>
      <c r="C13" s="11" t="n">
        <v>8.5</v>
      </c>
      <c r="D13" s="11"/>
      <c r="E13" s="11" t="n">
        <v>0.0708</v>
      </c>
      <c r="F13" s="5" t="s">
        <v>329</v>
      </c>
      <c r="G13" s="5" t="s">
        <v>330</v>
      </c>
    </row>
    <row r="14" customFormat="false" ht="15" hidden="false" customHeight="false" outlineLevel="0" collapsed="false">
      <c r="A14" s="5" t="s">
        <v>331</v>
      </c>
      <c r="B14" s="11" t="n">
        <v>20</v>
      </c>
      <c r="C14" s="11" t="n">
        <v>15.9</v>
      </c>
      <c r="D14" s="11"/>
      <c r="E14" s="11" t="n">
        <v>0.794</v>
      </c>
      <c r="F14" s="5" t="s">
        <v>332</v>
      </c>
      <c r="G14" s="5" t="s">
        <v>333</v>
      </c>
    </row>
    <row r="15" customFormat="false" ht="15" hidden="false" customHeight="false" outlineLevel="0" collapsed="false">
      <c r="A15" s="5" t="s">
        <v>334</v>
      </c>
      <c r="B15" s="11" t="n">
        <v>18.8</v>
      </c>
      <c r="C15" s="11" t="n">
        <v>13.6</v>
      </c>
      <c r="D15" s="11"/>
      <c r="E15" s="11" t="n">
        <v>0.725</v>
      </c>
      <c r="F15" s="5" t="s">
        <v>335</v>
      </c>
      <c r="G15" s="5" t="s">
        <v>336</v>
      </c>
    </row>
    <row r="16" customFormat="false" ht="15" hidden="false" customHeight="false" outlineLevel="0" collapsed="false">
      <c r="A16" s="5" t="s">
        <v>337</v>
      </c>
      <c r="B16" s="11" t="n">
        <v>44</v>
      </c>
      <c r="C16" s="11" t="n">
        <v>34.4</v>
      </c>
      <c r="D16" s="11"/>
      <c r="E16" s="11" t="n">
        <v>0.78</v>
      </c>
      <c r="F16" s="5" t="s">
        <v>338</v>
      </c>
      <c r="G16" s="5" t="s">
        <v>339</v>
      </c>
    </row>
    <row r="17" customFormat="false" ht="15" hidden="false" customHeight="false" outlineLevel="0" collapsed="false">
      <c r="A17" s="5" t="s">
        <v>340</v>
      </c>
      <c r="B17" s="11" t="n">
        <v>37.1</v>
      </c>
      <c r="C17" s="11" t="n">
        <v>33</v>
      </c>
      <c r="D17" s="11"/>
      <c r="E17" s="11" t="n">
        <v>0.885</v>
      </c>
      <c r="F17" s="5" t="s">
        <v>341</v>
      </c>
      <c r="G17" s="5" t="s">
        <v>342</v>
      </c>
    </row>
    <row r="18" customFormat="false" ht="15" hidden="false" customHeight="false" outlineLevel="0" collapsed="false">
      <c r="A18" s="5" t="s">
        <v>343</v>
      </c>
      <c r="B18" s="11" t="n">
        <v>43.5</v>
      </c>
      <c r="C18" s="11" t="n">
        <v>32</v>
      </c>
      <c r="D18" s="11"/>
      <c r="E18" s="11" t="n">
        <v>0.735</v>
      </c>
      <c r="F18" s="5" t="s">
        <v>344</v>
      </c>
      <c r="G18" s="5" t="s">
        <v>345</v>
      </c>
    </row>
    <row r="19" customFormat="false" ht="15" hidden="false" customHeight="false" outlineLevel="0" collapsed="false">
      <c r="A19" s="5" t="s">
        <v>346</v>
      </c>
      <c r="B19" s="11" t="n">
        <v>3.6</v>
      </c>
      <c r="C19" s="11"/>
      <c r="D19" s="11"/>
      <c r="E19" s="11"/>
      <c r="F19" s="5" t="s">
        <v>347</v>
      </c>
      <c r="G19" s="5" t="s">
        <v>348</v>
      </c>
    </row>
    <row r="22" customFormat="false" ht="15" hidden="false" customHeight="false" outlineLevel="0" collapsed="false">
      <c r="A22" s="6" t="s">
        <v>349</v>
      </c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7" t="s">
        <v>301</v>
      </c>
      <c r="B23" s="7" t="s">
        <v>350</v>
      </c>
      <c r="C23" s="7" t="s">
        <v>351</v>
      </c>
      <c r="D23" s="7" t="s">
        <v>352</v>
      </c>
      <c r="E23" s="7" t="s">
        <v>76</v>
      </c>
      <c r="F23" s="7" t="s">
        <v>353</v>
      </c>
      <c r="G23" s="7" t="s">
        <v>307</v>
      </c>
    </row>
    <row r="24" customFormat="false" ht="15" hidden="false" customHeight="false" outlineLevel="0" collapsed="false">
      <c r="A24" s="5" t="s">
        <v>354</v>
      </c>
      <c r="B24" s="11" t="n">
        <v>3.17</v>
      </c>
      <c r="C24" s="11" t="n">
        <v>2.65</v>
      </c>
      <c r="D24" s="11" t="n">
        <v>73.6</v>
      </c>
      <c r="E24" s="5" t="s">
        <v>355</v>
      </c>
      <c r="F24" s="5" t="s">
        <v>356</v>
      </c>
      <c r="G24" s="5" t="s">
        <v>357</v>
      </c>
    </row>
    <row r="25" customFormat="false" ht="15" hidden="false" customHeight="false" outlineLevel="0" collapsed="false">
      <c r="A25" s="5" t="s">
        <v>312</v>
      </c>
      <c r="B25" s="11" t="n">
        <v>3.114</v>
      </c>
      <c r="C25" s="11" t="n">
        <v>2.99</v>
      </c>
      <c r="D25" s="11" t="n">
        <v>76.9</v>
      </c>
      <c r="E25" s="5" t="s">
        <v>358</v>
      </c>
      <c r="F25" s="5" t="s">
        <v>359</v>
      </c>
      <c r="G25" s="5" t="s">
        <v>360</v>
      </c>
    </row>
    <row r="26" customFormat="false" ht="15" hidden="false" customHeight="false" outlineLevel="0" collapsed="false">
      <c r="A26" s="5" t="s">
        <v>361</v>
      </c>
      <c r="B26" s="11" t="n">
        <v>3.15</v>
      </c>
      <c r="C26" s="11" t="n">
        <v>3.03</v>
      </c>
      <c r="D26" s="11" t="n">
        <v>76.8</v>
      </c>
      <c r="E26" s="5" t="s">
        <v>358</v>
      </c>
      <c r="F26" s="5" t="s">
        <v>359</v>
      </c>
      <c r="G26" s="5" t="s">
        <v>362</v>
      </c>
    </row>
    <row r="27" customFormat="false" ht="15" hidden="false" customHeight="false" outlineLevel="0" collapsed="false">
      <c r="A27" s="5" t="s">
        <v>316</v>
      </c>
      <c r="B27" s="11" t="n">
        <v>3.206</v>
      </c>
      <c r="C27" s="11" t="n">
        <v>2.74</v>
      </c>
      <c r="D27" s="11" t="n">
        <v>75.1</v>
      </c>
      <c r="E27" s="5" t="s">
        <v>358</v>
      </c>
      <c r="F27" s="5" t="s">
        <v>356</v>
      </c>
      <c r="G27" s="5" t="s">
        <v>363</v>
      </c>
    </row>
    <row r="28" customFormat="false" ht="23.85" hidden="false" customHeight="false" outlineLevel="0" collapsed="false">
      <c r="A28" s="5" t="s">
        <v>364</v>
      </c>
      <c r="B28" s="11" t="n">
        <v>2.75</v>
      </c>
      <c r="C28" s="11" t="n">
        <v>1.21</v>
      </c>
      <c r="D28" s="11" t="n">
        <v>55</v>
      </c>
      <c r="E28" s="5" t="s">
        <v>365</v>
      </c>
      <c r="F28" s="5" t="s">
        <v>366</v>
      </c>
      <c r="G28" s="5" t="s">
        <v>367</v>
      </c>
    </row>
    <row r="29" customFormat="false" ht="15" hidden="false" customHeight="false" outlineLevel="0" collapsed="false">
      <c r="A29" s="5" t="s">
        <v>320</v>
      </c>
      <c r="B29" s="11" t="n">
        <v>2.75</v>
      </c>
      <c r="C29" s="11"/>
      <c r="D29" s="11" t="n">
        <v>55</v>
      </c>
      <c r="E29" s="5" t="s">
        <v>358</v>
      </c>
      <c r="F29" s="5" t="s">
        <v>368</v>
      </c>
      <c r="G29" s="5" t="s">
        <v>369</v>
      </c>
    </row>
    <row r="30" customFormat="false" ht="23.85" hidden="false" customHeight="false" outlineLevel="0" collapsed="false">
      <c r="A30" s="5" t="s">
        <v>370</v>
      </c>
      <c r="B30" s="11" t="n">
        <v>1.375</v>
      </c>
      <c r="C30" s="11" t="n">
        <v>1.09</v>
      </c>
      <c r="D30" s="11" t="n">
        <v>68.7</v>
      </c>
      <c r="E30" s="5" t="s">
        <v>371</v>
      </c>
      <c r="F30" s="5" t="s">
        <v>372</v>
      </c>
      <c r="G30" s="5" t="s">
        <v>373</v>
      </c>
    </row>
    <row r="31" customFormat="false" ht="15" hidden="false" customHeight="false" outlineLevel="0" collapsed="false">
      <c r="A31" s="5" t="s">
        <v>374</v>
      </c>
      <c r="B31" s="11" t="s">
        <v>375</v>
      </c>
      <c r="C31" s="11" t="s">
        <v>375</v>
      </c>
      <c r="D31" s="11" t="s">
        <v>376</v>
      </c>
      <c r="E31" s="5" t="s">
        <v>371</v>
      </c>
      <c r="F31" s="5" t="s">
        <v>377</v>
      </c>
      <c r="G31" s="5" t="s">
        <v>378</v>
      </c>
    </row>
    <row r="32" customFormat="false" ht="23.85" hidden="false" customHeight="false" outlineLevel="0" collapsed="false">
      <c r="A32" s="5" t="s">
        <v>379</v>
      </c>
      <c r="B32" s="11" t="n">
        <v>0</v>
      </c>
      <c r="C32" s="11"/>
      <c r="D32" s="11" t="n">
        <v>0</v>
      </c>
      <c r="E32" s="5" t="s">
        <v>380</v>
      </c>
      <c r="F32" s="5" t="s">
        <v>381</v>
      </c>
      <c r="G32" s="5" t="s">
        <v>382</v>
      </c>
    </row>
    <row r="33" customFormat="false" ht="23.85" hidden="false" customHeight="false" outlineLevel="0" collapsed="false">
      <c r="A33" s="5" t="s">
        <v>383</v>
      </c>
      <c r="B33" s="11" t="n">
        <v>0</v>
      </c>
      <c r="C33" s="11"/>
      <c r="D33" s="11" t="n">
        <v>0</v>
      </c>
      <c r="E33" s="5" t="s">
        <v>384</v>
      </c>
      <c r="F33" s="5" t="s">
        <v>381</v>
      </c>
      <c r="G33" s="5" t="s">
        <v>385</v>
      </c>
    </row>
    <row r="34" customFormat="false" ht="23.85" hidden="false" customHeight="false" outlineLevel="0" collapsed="false">
      <c r="A34" s="5" t="s">
        <v>338</v>
      </c>
      <c r="B34" s="11" t="n">
        <v>2.85</v>
      </c>
      <c r="C34" s="11" t="n">
        <v>2.22</v>
      </c>
      <c r="D34" s="11" t="n">
        <v>64.8</v>
      </c>
      <c r="E34" s="5" t="s">
        <v>386</v>
      </c>
      <c r="F34" s="5" t="s">
        <v>387</v>
      </c>
      <c r="G34" s="5" t="s">
        <v>388</v>
      </c>
    </row>
    <row r="35" customFormat="false" ht="23.85" hidden="false" customHeight="false" outlineLevel="0" collapsed="false">
      <c r="A35" s="5" t="s">
        <v>340</v>
      </c>
      <c r="B35" s="11" t="n">
        <v>2.83</v>
      </c>
      <c r="C35" s="11" t="n">
        <v>2.5</v>
      </c>
      <c r="D35" s="11" t="n">
        <v>76.3</v>
      </c>
      <c r="E35" s="5" t="s">
        <v>386</v>
      </c>
      <c r="F35" s="5" t="s">
        <v>389</v>
      </c>
      <c r="G35" s="5" t="s">
        <v>390</v>
      </c>
    </row>
    <row r="36" customFormat="false" ht="15" hidden="false" customHeight="false" outlineLevel="0" collapsed="false">
      <c r="A36" s="5" t="s">
        <v>391</v>
      </c>
      <c r="B36" s="11" t="n">
        <v>3.169</v>
      </c>
      <c r="C36" s="11" t="n">
        <v>2.33</v>
      </c>
      <c r="D36" s="11" t="n">
        <v>72.9</v>
      </c>
      <c r="E36" s="5" t="s">
        <v>355</v>
      </c>
      <c r="F36" s="5" t="s">
        <v>392</v>
      </c>
      <c r="G36" s="5" t="s">
        <v>393</v>
      </c>
    </row>
    <row r="37" customFormat="false" ht="35.05" hidden="false" customHeight="false" outlineLevel="0" collapsed="false">
      <c r="A37" s="5" t="s">
        <v>394</v>
      </c>
      <c r="B37" s="11" t="s">
        <v>395</v>
      </c>
      <c r="C37" s="11" t="s">
        <v>396</v>
      </c>
      <c r="D37" s="11" t="s">
        <v>397</v>
      </c>
      <c r="E37" s="5" t="s">
        <v>398</v>
      </c>
      <c r="F37" s="5" t="s">
        <v>399</v>
      </c>
      <c r="G37" s="5" t="s">
        <v>400</v>
      </c>
    </row>
    <row r="40" customFormat="false" ht="15" hidden="false" customHeight="false" outlineLevel="0" collapsed="false">
      <c r="A40" s="6" t="s">
        <v>401</v>
      </c>
      <c r="B40" s="6"/>
      <c r="C40" s="6"/>
      <c r="D40" s="6"/>
      <c r="E40" s="6"/>
      <c r="F40" s="6"/>
      <c r="G40" s="6"/>
    </row>
    <row r="41" customFormat="false" ht="15" hidden="false" customHeight="false" outlineLevel="0" collapsed="false">
      <c r="A41" s="7" t="s">
        <v>402</v>
      </c>
      <c r="B41" s="7" t="s">
        <v>403</v>
      </c>
      <c r="C41" s="7" t="s">
        <v>73</v>
      </c>
      <c r="D41" s="7" t="s">
        <v>404</v>
      </c>
      <c r="E41" s="7" t="s">
        <v>76</v>
      </c>
      <c r="F41" s="7" t="s">
        <v>405</v>
      </c>
      <c r="G41" s="7" t="s">
        <v>307</v>
      </c>
    </row>
    <row r="42" customFormat="false" ht="15" hidden="false" customHeight="false" outlineLevel="0" collapsed="false">
      <c r="A42" s="5" t="s">
        <v>406</v>
      </c>
      <c r="B42" s="11" t="s">
        <v>407</v>
      </c>
      <c r="C42" s="5" t="s">
        <v>408</v>
      </c>
      <c r="D42" s="5" t="s">
        <v>409</v>
      </c>
      <c r="E42" s="5" t="s">
        <v>410</v>
      </c>
      <c r="F42" s="11" t="s">
        <v>244</v>
      </c>
      <c r="G42" s="5" t="s">
        <v>411</v>
      </c>
    </row>
    <row r="43" customFormat="false" ht="15" hidden="false" customHeight="false" outlineLevel="0" collapsed="false">
      <c r="A43" s="5" t="s">
        <v>412</v>
      </c>
      <c r="B43" s="11" t="s">
        <v>413</v>
      </c>
      <c r="C43" s="5" t="s">
        <v>414</v>
      </c>
      <c r="D43" s="5" t="s">
        <v>409</v>
      </c>
      <c r="E43" s="5" t="s">
        <v>100</v>
      </c>
      <c r="F43" s="11" t="s">
        <v>244</v>
      </c>
      <c r="G43" s="5" t="s">
        <v>415</v>
      </c>
    </row>
    <row r="44" customFormat="false" ht="15" hidden="false" customHeight="false" outlineLevel="0" collapsed="false">
      <c r="A44" s="5" t="s">
        <v>416</v>
      </c>
      <c r="B44" s="11" t="n">
        <v>45</v>
      </c>
      <c r="C44" s="5" t="s">
        <v>417</v>
      </c>
      <c r="D44" s="5" t="s">
        <v>418</v>
      </c>
      <c r="E44" s="5" t="s">
        <v>258</v>
      </c>
      <c r="F44" s="11" t="s">
        <v>244</v>
      </c>
      <c r="G44" s="5" t="s">
        <v>419</v>
      </c>
    </row>
    <row r="45" customFormat="false" ht="15" hidden="false" customHeight="false" outlineLevel="0" collapsed="false">
      <c r="A45" s="5" t="s">
        <v>420</v>
      </c>
      <c r="B45" s="11" t="s">
        <v>421</v>
      </c>
      <c r="C45" s="5" t="s">
        <v>422</v>
      </c>
      <c r="D45" s="5" t="s">
        <v>423</v>
      </c>
      <c r="E45" s="5" t="s">
        <v>424</v>
      </c>
      <c r="F45" s="11" t="s">
        <v>244</v>
      </c>
      <c r="G45" s="5" t="s">
        <v>425</v>
      </c>
    </row>
    <row r="46" customFormat="false" ht="15" hidden="false" customHeight="false" outlineLevel="0" collapsed="false">
      <c r="A46" s="5" t="s">
        <v>426</v>
      </c>
      <c r="B46" s="11" t="s">
        <v>427</v>
      </c>
      <c r="C46" s="5" t="s">
        <v>422</v>
      </c>
      <c r="D46" s="5" t="s">
        <v>428</v>
      </c>
      <c r="E46" s="5" t="s">
        <v>424</v>
      </c>
      <c r="F46" s="11" t="s">
        <v>244</v>
      </c>
      <c r="G46" s="5"/>
    </row>
    <row r="47" customFormat="false" ht="15" hidden="false" customHeight="false" outlineLevel="0" collapsed="false">
      <c r="A47" s="5" t="s">
        <v>429</v>
      </c>
      <c r="B47" s="11" t="s">
        <v>430</v>
      </c>
      <c r="C47" s="5" t="s">
        <v>422</v>
      </c>
      <c r="D47" s="5" t="s">
        <v>431</v>
      </c>
      <c r="E47" s="5" t="s">
        <v>432</v>
      </c>
      <c r="F47" s="11" t="s">
        <v>244</v>
      </c>
      <c r="G47" s="5" t="s">
        <v>433</v>
      </c>
    </row>
    <row r="48" customFormat="false" ht="15" hidden="false" customHeight="false" outlineLevel="0" collapsed="false">
      <c r="A48" s="5" t="s">
        <v>434</v>
      </c>
      <c r="B48" s="11" t="s">
        <v>435</v>
      </c>
      <c r="C48" s="5" t="s">
        <v>436</v>
      </c>
      <c r="D48" s="5" t="s">
        <v>431</v>
      </c>
      <c r="E48" s="5" t="s">
        <v>215</v>
      </c>
      <c r="F48" s="11" t="s">
        <v>244</v>
      </c>
      <c r="G48" s="5"/>
    </row>
    <row r="49" customFormat="false" ht="15" hidden="false" customHeight="false" outlineLevel="0" collapsed="false">
      <c r="A49" s="5" t="s">
        <v>437</v>
      </c>
      <c r="B49" s="11" t="s">
        <v>438</v>
      </c>
      <c r="C49" s="5" t="s">
        <v>439</v>
      </c>
      <c r="D49" s="5" t="s">
        <v>431</v>
      </c>
      <c r="E49" s="5" t="s">
        <v>440</v>
      </c>
      <c r="F49" s="11" t="s">
        <v>244</v>
      </c>
      <c r="G49" s="5"/>
    </row>
    <row r="50" customFormat="false" ht="15" hidden="false" customHeight="false" outlineLevel="0" collapsed="false">
      <c r="A50" s="5" t="s">
        <v>441</v>
      </c>
      <c r="B50" s="11" t="n">
        <v>72</v>
      </c>
      <c r="C50" s="5" t="s">
        <v>442</v>
      </c>
      <c r="D50" s="5" t="s">
        <v>431</v>
      </c>
      <c r="E50" s="5" t="s">
        <v>443</v>
      </c>
      <c r="F50" s="11" t="s">
        <v>239</v>
      </c>
      <c r="G50" s="5" t="s">
        <v>444</v>
      </c>
    </row>
    <row r="51" customFormat="false" ht="15" hidden="false" customHeight="false" outlineLevel="0" collapsed="false">
      <c r="A51" s="5" t="s">
        <v>445</v>
      </c>
      <c r="B51" s="11" t="s">
        <v>446</v>
      </c>
      <c r="C51" s="5" t="s">
        <v>439</v>
      </c>
      <c r="D51" s="5" t="s">
        <v>447</v>
      </c>
      <c r="E51" s="5" t="s">
        <v>448</v>
      </c>
      <c r="F51" s="11" t="s">
        <v>244</v>
      </c>
      <c r="G51" s="5" t="s">
        <v>449</v>
      </c>
    </row>
    <row r="52" customFormat="false" ht="15" hidden="false" customHeight="false" outlineLevel="0" collapsed="false">
      <c r="A52" s="5" t="s">
        <v>450</v>
      </c>
      <c r="B52" s="11" t="s">
        <v>451</v>
      </c>
      <c r="C52" s="5" t="s">
        <v>452</v>
      </c>
      <c r="D52" s="5" t="s">
        <v>447</v>
      </c>
      <c r="E52" s="5" t="s">
        <v>440</v>
      </c>
      <c r="F52" s="11" t="s">
        <v>244</v>
      </c>
      <c r="G52" s="5"/>
    </row>
    <row r="53" customFormat="false" ht="15" hidden="false" customHeight="false" outlineLevel="0" collapsed="false">
      <c r="A53" s="5" t="s">
        <v>453</v>
      </c>
      <c r="B53" s="11" t="s">
        <v>454</v>
      </c>
      <c r="C53" s="5" t="s">
        <v>455</v>
      </c>
      <c r="D53" s="5" t="s">
        <v>447</v>
      </c>
      <c r="E53" s="5" t="s">
        <v>456</v>
      </c>
      <c r="F53" s="11" t="s">
        <v>244</v>
      </c>
      <c r="G53" s="5"/>
    </row>
    <row r="54" customFormat="false" ht="15" hidden="false" customHeight="false" outlineLevel="0" collapsed="false">
      <c r="A54" s="5" t="s">
        <v>457</v>
      </c>
      <c r="B54" s="11" t="n">
        <v>6384</v>
      </c>
      <c r="C54" s="5" t="s">
        <v>458</v>
      </c>
      <c r="D54" s="5" t="s">
        <v>447</v>
      </c>
      <c r="E54" s="5" t="s">
        <v>199</v>
      </c>
      <c r="F54" s="11" t="s">
        <v>244</v>
      </c>
      <c r="G54" s="5" t="s">
        <v>459</v>
      </c>
    </row>
    <row r="55" customFormat="false" ht="15" hidden="false" customHeight="false" outlineLevel="0" collapsed="false">
      <c r="A55" s="5" t="s">
        <v>460</v>
      </c>
      <c r="B55" s="11" t="n">
        <v>320</v>
      </c>
      <c r="C55" s="5" t="s">
        <v>461</v>
      </c>
      <c r="D55" s="5" t="s">
        <v>462</v>
      </c>
      <c r="E55" s="5" t="s">
        <v>206</v>
      </c>
      <c r="F55" s="11" t="s">
        <v>244</v>
      </c>
      <c r="G55" s="5" t="s">
        <v>463</v>
      </c>
    </row>
  </sheetData>
  <mergeCells count="4">
    <mergeCell ref="A1:J1"/>
    <mergeCell ref="A3:G3"/>
    <mergeCell ref="A22:G22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465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6" t="s">
        <v>466</v>
      </c>
      <c r="B5" s="6"/>
      <c r="C5" s="6"/>
      <c r="D5" s="6"/>
      <c r="E5" s="6"/>
      <c r="F5" s="6"/>
      <c r="G5" s="6"/>
    </row>
    <row r="6" customFormat="false" ht="23.85" hidden="false" customHeight="false" outlineLevel="0" collapsed="false">
      <c r="A6" s="7" t="s">
        <v>467</v>
      </c>
      <c r="B6" s="7" t="s">
        <v>468</v>
      </c>
      <c r="C6" s="7" t="s">
        <v>469</v>
      </c>
      <c r="D6" s="7" t="s">
        <v>470</v>
      </c>
      <c r="E6" s="7" t="s">
        <v>471</v>
      </c>
      <c r="F6" s="7" t="s">
        <v>472</v>
      </c>
      <c r="G6" s="7" t="s">
        <v>76</v>
      </c>
    </row>
    <row r="7" customFormat="false" ht="15" hidden="false" customHeight="false" outlineLevel="0" collapsed="false">
      <c r="A7" s="5" t="s">
        <v>473</v>
      </c>
      <c r="B7" s="11" t="n">
        <v>13.663</v>
      </c>
      <c r="C7" s="11" t="n">
        <v>0.1836</v>
      </c>
      <c r="D7" s="11" t="n">
        <v>1.6</v>
      </c>
      <c r="E7" s="11" t="n">
        <v>1.5</v>
      </c>
      <c r="F7" s="5" t="s">
        <v>474</v>
      </c>
      <c r="G7" s="5" t="s">
        <v>475</v>
      </c>
    </row>
    <row r="8" customFormat="false" ht="15" hidden="false" customHeight="false" outlineLevel="0" collapsed="false">
      <c r="A8" s="5" t="s">
        <v>476</v>
      </c>
      <c r="B8" s="11" t="n">
        <v>15.287</v>
      </c>
      <c r="C8" s="11" t="n">
        <v>0.2054</v>
      </c>
      <c r="D8" s="11" t="n">
        <v>1.2</v>
      </c>
      <c r="E8" s="11" t="n">
        <v>1.2</v>
      </c>
      <c r="F8" s="5" t="s">
        <v>477</v>
      </c>
      <c r="G8" s="5" t="s">
        <v>475</v>
      </c>
    </row>
    <row r="9" customFormat="false" ht="15" hidden="false" customHeight="false" outlineLevel="0" collapsed="false">
      <c r="A9" s="5" t="s">
        <v>478</v>
      </c>
      <c r="B9" s="11" t="n">
        <v>16.908</v>
      </c>
      <c r="C9" s="11" t="n">
        <v>0.2271</v>
      </c>
      <c r="D9" s="11" t="n">
        <v>1</v>
      </c>
      <c r="E9" s="11" t="n">
        <v>1</v>
      </c>
      <c r="F9" s="5" t="s">
        <v>479</v>
      </c>
      <c r="G9" s="5" t="s">
        <v>475</v>
      </c>
    </row>
    <row r="10" customFormat="false" ht="15" hidden="false" customHeight="false" outlineLevel="0" collapsed="false">
      <c r="A10" s="5" t="s">
        <v>480</v>
      </c>
      <c r="B10" s="11" t="n">
        <v>17.258</v>
      </c>
      <c r="C10" s="11" t="n">
        <v>0.2319</v>
      </c>
      <c r="D10" s="11" t="n">
        <v>0.85</v>
      </c>
      <c r="E10" s="11" t="n">
        <v>0.85</v>
      </c>
      <c r="F10" s="5" t="s">
        <v>481</v>
      </c>
      <c r="G10" s="5" t="s">
        <v>475</v>
      </c>
    </row>
    <row r="11" customFormat="false" ht="15" hidden="false" customHeight="false" outlineLevel="0" collapsed="false">
      <c r="A11" s="5" t="s">
        <v>482</v>
      </c>
      <c r="B11" s="11" t="n">
        <v>16.596</v>
      </c>
      <c r="C11" s="11" t="n">
        <v>0.223</v>
      </c>
      <c r="D11" s="11" t="n">
        <v>0.75</v>
      </c>
      <c r="E11" s="11" t="n">
        <v>0.75</v>
      </c>
      <c r="F11" s="5" t="s">
        <v>483</v>
      </c>
      <c r="G11" s="5" t="s">
        <v>475</v>
      </c>
    </row>
    <row r="12" customFormat="false" ht="15" hidden="false" customHeight="false" outlineLevel="0" collapsed="false">
      <c r="A12" s="12" t="s">
        <v>484</v>
      </c>
      <c r="B12" s="13" t="n">
        <v>16.29</v>
      </c>
      <c r="C12" s="13" t="n">
        <v>0.2142</v>
      </c>
      <c r="D12" s="13" t="s">
        <v>396</v>
      </c>
      <c r="E12" s="13" t="s">
        <v>396</v>
      </c>
      <c r="F12" s="12" t="s">
        <v>485</v>
      </c>
      <c r="G12" s="12" t="s">
        <v>486</v>
      </c>
    </row>
    <row r="14" customFormat="false" ht="30" hidden="false" customHeight="true" outlineLevel="0" collapsed="false">
      <c r="A14" s="14" t="s">
        <v>487</v>
      </c>
      <c r="B14" s="14"/>
      <c r="C14" s="14"/>
      <c r="D14" s="14"/>
      <c r="E14" s="14"/>
      <c r="F14" s="14"/>
      <c r="G14" s="14"/>
    </row>
    <row r="16" customFormat="false" ht="15" hidden="false" customHeight="false" outlineLevel="0" collapsed="false">
      <c r="A16" s="6" t="s">
        <v>488</v>
      </c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7" t="s">
        <v>402</v>
      </c>
      <c r="B17" s="7" t="s">
        <v>403</v>
      </c>
      <c r="C17" s="7" t="s">
        <v>73</v>
      </c>
      <c r="D17" s="7" t="s">
        <v>234</v>
      </c>
      <c r="E17" s="7" t="s">
        <v>76</v>
      </c>
      <c r="F17" s="7" t="s">
        <v>307</v>
      </c>
      <c r="G17" s="7"/>
    </row>
    <row r="18" customFormat="false" ht="23.85" hidden="false" customHeight="false" outlineLevel="0" collapsed="false">
      <c r="A18" s="5" t="s">
        <v>489</v>
      </c>
      <c r="B18" s="11" t="n">
        <v>0.050936</v>
      </c>
      <c r="C18" s="5" t="s">
        <v>490</v>
      </c>
      <c r="D18" s="11" t="n">
        <v>2024</v>
      </c>
      <c r="E18" s="5" t="s">
        <v>491</v>
      </c>
      <c r="F18" s="5" t="s">
        <v>492</v>
      </c>
      <c r="G18" s="11"/>
    </row>
    <row r="19" customFormat="false" ht="23.85" hidden="false" customHeight="false" outlineLevel="0" collapsed="false">
      <c r="A19" s="5" t="s">
        <v>493</v>
      </c>
      <c r="B19" s="11" t="n">
        <v>0.051507</v>
      </c>
      <c r="C19" s="5" t="s">
        <v>490</v>
      </c>
      <c r="D19" s="11" t="n">
        <v>2023</v>
      </c>
      <c r="E19" s="5" t="s">
        <v>491</v>
      </c>
      <c r="F19" s="5"/>
      <c r="G19" s="11"/>
    </row>
    <row r="20" customFormat="false" ht="23.85" hidden="false" customHeight="false" outlineLevel="0" collapsed="false">
      <c r="A20" s="5" t="s">
        <v>494</v>
      </c>
      <c r="B20" s="11" t="n">
        <v>0.053129</v>
      </c>
      <c r="C20" s="5" t="s">
        <v>490</v>
      </c>
      <c r="D20" s="11" t="n">
        <v>2022</v>
      </c>
      <c r="E20" s="5" t="s">
        <v>491</v>
      </c>
      <c r="F20" s="5" t="s">
        <v>495</v>
      </c>
      <c r="G20" s="11"/>
    </row>
    <row r="21" customFormat="false" ht="15" hidden="false" customHeight="false" outlineLevel="0" collapsed="false">
      <c r="A21" s="5" t="s">
        <v>496</v>
      </c>
      <c r="B21" s="11" t="n">
        <v>22.9</v>
      </c>
      <c r="C21" s="5" t="s">
        <v>497</v>
      </c>
      <c r="D21" s="11" t="n">
        <v>2024</v>
      </c>
      <c r="E21" s="5" t="s">
        <v>498</v>
      </c>
      <c r="F21" s="5" t="s">
        <v>499</v>
      </c>
      <c r="G21" s="11"/>
    </row>
    <row r="22" customFormat="false" ht="23.85" hidden="false" customHeight="false" outlineLevel="0" collapsed="false">
      <c r="A22" s="5" t="s">
        <v>500</v>
      </c>
      <c r="B22" s="11" t="s">
        <v>501</v>
      </c>
      <c r="C22" s="5" t="s">
        <v>502</v>
      </c>
      <c r="D22" s="11" t="n">
        <v>2024</v>
      </c>
      <c r="E22" s="5" t="s">
        <v>503</v>
      </c>
      <c r="F22" s="5" t="s">
        <v>504</v>
      </c>
      <c r="G22" s="11"/>
    </row>
    <row r="23" customFormat="false" ht="15" hidden="false" customHeight="false" outlineLevel="0" collapsed="false">
      <c r="A23" s="5" t="s">
        <v>505</v>
      </c>
      <c r="B23" s="11" t="s">
        <v>430</v>
      </c>
      <c r="C23" s="5" t="s">
        <v>502</v>
      </c>
      <c r="D23" s="11" t="n">
        <v>2024</v>
      </c>
      <c r="E23" s="5" t="s">
        <v>432</v>
      </c>
      <c r="F23" s="5" t="s">
        <v>506</v>
      </c>
      <c r="G23" s="11"/>
    </row>
    <row r="24" customFormat="false" ht="23.85" hidden="false" customHeight="false" outlineLevel="0" collapsed="false">
      <c r="A24" s="5" t="s">
        <v>507</v>
      </c>
      <c r="B24" s="11" t="s">
        <v>438</v>
      </c>
      <c r="C24" s="5" t="s">
        <v>439</v>
      </c>
      <c r="D24" s="11" t="n">
        <v>2024</v>
      </c>
      <c r="E24" s="5" t="s">
        <v>508</v>
      </c>
      <c r="F24" s="5"/>
      <c r="G24" s="11"/>
    </row>
    <row r="27" customFormat="false" ht="15" hidden="false" customHeight="false" outlineLevel="0" collapsed="false">
      <c r="A27" s="6" t="s">
        <v>509</v>
      </c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7" t="s">
        <v>404</v>
      </c>
      <c r="B28" s="7" t="s">
        <v>510</v>
      </c>
      <c r="C28" s="7" t="s">
        <v>511</v>
      </c>
      <c r="D28" s="7" t="s">
        <v>512</v>
      </c>
      <c r="E28" s="7" t="s">
        <v>76</v>
      </c>
      <c r="F28" s="7" t="s">
        <v>307</v>
      </c>
      <c r="G28" s="7"/>
    </row>
    <row r="29" customFormat="false" ht="23.85" hidden="false" customHeight="false" outlineLevel="0" collapsed="false">
      <c r="A29" s="5" t="s">
        <v>513</v>
      </c>
      <c r="B29" s="11" t="n">
        <v>20.3714</v>
      </c>
      <c r="C29" s="11" t="n">
        <v>43352.7</v>
      </c>
      <c r="D29" s="11" t="n">
        <v>2128</v>
      </c>
      <c r="E29" s="5" t="s">
        <v>88</v>
      </c>
      <c r="F29" s="5" t="s">
        <v>514</v>
      </c>
      <c r="G29" s="11"/>
    </row>
    <row r="30" customFormat="false" ht="23.85" hidden="false" customHeight="false" outlineLevel="0" collapsed="false">
      <c r="A30" s="5" t="s">
        <v>515</v>
      </c>
      <c r="B30" s="11" t="n">
        <v>0.3086</v>
      </c>
      <c r="C30" s="11" t="n">
        <v>85</v>
      </c>
      <c r="D30" s="11" t="n">
        <v>275</v>
      </c>
      <c r="E30" s="5" t="s">
        <v>88</v>
      </c>
      <c r="F30" s="5" t="s">
        <v>516</v>
      </c>
      <c r="G30" s="11"/>
    </row>
    <row r="31" customFormat="false" ht="23.85" hidden="false" customHeight="false" outlineLevel="0" collapsed="false">
      <c r="A31" s="5" t="s">
        <v>517</v>
      </c>
      <c r="B31" s="11" t="s">
        <v>396</v>
      </c>
      <c r="C31" s="11" t="s">
        <v>396</v>
      </c>
      <c r="D31" s="11" t="s">
        <v>518</v>
      </c>
      <c r="E31" s="5" t="s">
        <v>519</v>
      </c>
      <c r="F31" s="5" t="s">
        <v>520</v>
      </c>
      <c r="G31" s="11"/>
    </row>
    <row r="32" customFormat="false" ht="23.85" hidden="false" customHeight="false" outlineLevel="0" collapsed="false">
      <c r="A32" s="5" t="s">
        <v>521</v>
      </c>
      <c r="B32" s="11" t="s">
        <v>396</v>
      </c>
      <c r="C32" s="11" t="s">
        <v>396</v>
      </c>
      <c r="D32" s="11" t="n">
        <v>130.6</v>
      </c>
      <c r="E32" s="5" t="s">
        <v>522</v>
      </c>
      <c r="F32" s="5" t="s">
        <v>523</v>
      </c>
      <c r="G32" s="11"/>
    </row>
    <row r="34" customFormat="false" ht="30" hidden="false" customHeight="true" outlineLevel="0" collapsed="false">
      <c r="A34" s="14" t="s">
        <v>524</v>
      </c>
      <c r="B34" s="14"/>
      <c r="C34" s="14"/>
      <c r="D34" s="14"/>
      <c r="E34" s="14"/>
      <c r="F34" s="14"/>
      <c r="G34" s="14"/>
    </row>
  </sheetData>
  <mergeCells count="7">
    <mergeCell ref="A1:J1"/>
    <mergeCell ref="A3:G3"/>
    <mergeCell ref="A5:G5"/>
    <mergeCell ref="A14:G14"/>
    <mergeCell ref="A16:G16"/>
    <mergeCell ref="A27:G27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9" min="2" style="0" width="11"/>
  </cols>
  <sheetData>
    <row r="1" customFormat="false" ht="24" hidden="false" customHeight="true" outlineLevel="0" collapsed="false">
      <c r="A1" s="1" t="s">
        <v>525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false" outlineLevel="0" collapsed="false">
      <c r="A3" s="6" t="s">
        <v>526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customFormat="false" ht="15" hidden="false" customHeight="false" outlineLevel="0" collapsed="false">
      <c r="A4" s="7" t="s">
        <v>527</v>
      </c>
      <c r="B4" s="7" t="s">
        <v>528</v>
      </c>
      <c r="C4" s="7" t="s">
        <v>529</v>
      </c>
      <c r="D4" s="7" t="s">
        <v>530</v>
      </c>
      <c r="E4" s="7" t="s">
        <v>531</v>
      </c>
      <c r="F4" s="7" t="s">
        <v>532</v>
      </c>
      <c r="G4" s="7" t="s">
        <v>533</v>
      </c>
      <c r="H4" s="7" t="s">
        <v>534</v>
      </c>
      <c r="I4" s="7" t="s">
        <v>297</v>
      </c>
      <c r="J4" s="7" t="s">
        <v>535</v>
      </c>
      <c r="K4" s="7" t="s">
        <v>536</v>
      </c>
      <c r="L4" s="7" t="s">
        <v>537</v>
      </c>
      <c r="M4" s="7" t="s">
        <v>538</v>
      </c>
      <c r="N4" s="7" t="s">
        <v>539</v>
      </c>
      <c r="O4" s="7" t="s">
        <v>540</v>
      </c>
      <c r="P4" s="7" t="s">
        <v>541</v>
      </c>
      <c r="Q4" s="7" t="s">
        <v>286</v>
      </c>
      <c r="R4" s="7" t="s">
        <v>542</v>
      </c>
      <c r="S4" s="7" t="s">
        <v>239</v>
      </c>
    </row>
    <row r="5" customFormat="false" ht="15" hidden="false" customHeight="false" outlineLevel="0" collapsed="false">
      <c r="A5" s="5" t="s">
        <v>543</v>
      </c>
      <c r="B5" s="15" t="n">
        <v>68358.4438</v>
      </c>
      <c r="C5" s="15" t="n">
        <v>74029.068</v>
      </c>
      <c r="D5" s="15" t="n">
        <v>73690.3414</v>
      </c>
      <c r="E5" s="15" t="n">
        <v>73158.6161</v>
      </c>
      <c r="F5" s="15" t="n">
        <v>79702.9305</v>
      </c>
      <c r="G5" s="15" t="n">
        <v>82913.8458</v>
      </c>
      <c r="H5" s="15" t="n">
        <v>73373.9538</v>
      </c>
      <c r="I5" s="15" t="n">
        <v>65146.9992</v>
      </c>
      <c r="J5" s="15" t="n">
        <v>67830.9549</v>
      </c>
      <c r="K5" s="15" t="n">
        <v>55202.9036</v>
      </c>
      <c r="L5" s="15" t="n">
        <v>51826.6786</v>
      </c>
      <c r="M5" s="15" t="n">
        <v>53017.916</v>
      </c>
      <c r="N5" s="15" t="n">
        <v>55144.8968</v>
      </c>
      <c r="O5" s="15" t="n">
        <v>56547</v>
      </c>
      <c r="P5" s="15" t="n">
        <v>52196</v>
      </c>
      <c r="Q5" s="15" t="n">
        <v>54387</v>
      </c>
      <c r="R5" s="15" t="n">
        <v>58012</v>
      </c>
      <c r="S5" s="15" t="n">
        <v>60821</v>
      </c>
    </row>
    <row r="6" customFormat="false" ht="15" hidden="false" customHeight="false" outlineLevel="0" collapsed="false">
      <c r="A6" s="5" t="s">
        <v>544</v>
      </c>
      <c r="B6" s="15" t="n">
        <v>13630.5096</v>
      </c>
      <c r="C6" s="15" t="n">
        <v>14643.8017</v>
      </c>
      <c r="D6" s="15" t="n">
        <v>14661.0542</v>
      </c>
      <c r="E6" s="15" t="n">
        <v>14605.2555</v>
      </c>
      <c r="F6" s="15" t="n">
        <v>15679.7763</v>
      </c>
      <c r="G6" s="15" t="n">
        <v>16219.9569</v>
      </c>
      <c r="H6" s="15" t="n">
        <v>14703.8177</v>
      </c>
      <c r="I6" s="15" t="n">
        <v>13344.8065</v>
      </c>
      <c r="J6" s="15" t="n">
        <v>13797.1533</v>
      </c>
      <c r="K6" s="15" t="n">
        <v>11703.8299</v>
      </c>
      <c r="L6" s="15" t="n">
        <v>11166.0674</v>
      </c>
      <c r="M6" s="15" t="n">
        <v>11418.3616</v>
      </c>
      <c r="N6" s="15" t="n">
        <v>11822.1034</v>
      </c>
      <c r="O6" s="15" t="n">
        <v>12144</v>
      </c>
      <c r="P6" s="15" t="n">
        <v>11226</v>
      </c>
      <c r="Q6" s="15" t="n">
        <v>11697</v>
      </c>
      <c r="R6" s="15" t="n">
        <v>12498</v>
      </c>
      <c r="S6" s="15" t="n">
        <v>13132</v>
      </c>
    </row>
    <row r="7" customFormat="false" ht="15" hidden="false" customHeight="false" outlineLevel="0" collapsed="false">
      <c r="A7" s="5" t="s">
        <v>545</v>
      </c>
      <c r="B7" s="15" t="n">
        <v>6677.2463</v>
      </c>
      <c r="C7" s="15" t="n">
        <v>7037.5341</v>
      </c>
      <c r="D7" s="15" t="n">
        <v>6857.7433</v>
      </c>
      <c r="E7" s="15" t="n">
        <v>6630.003</v>
      </c>
      <c r="F7" s="15" t="n">
        <v>7055.6039</v>
      </c>
      <c r="G7" s="15" t="n">
        <v>7171.1977</v>
      </c>
      <c r="H7" s="15" t="n">
        <v>6292.8869</v>
      </c>
      <c r="I7" s="15" t="n">
        <v>5474.8427</v>
      </c>
      <c r="J7" s="15" t="n">
        <v>5578.7376</v>
      </c>
      <c r="K7" s="15" t="n">
        <v>4455.4909</v>
      </c>
      <c r="L7" s="15" t="n">
        <v>4139.5094</v>
      </c>
      <c r="M7" s="15" t="n">
        <v>4152.0868</v>
      </c>
      <c r="N7" s="15" t="n">
        <v>4273.2738</v>
      </c>
      <c r="O7" s="15" t="n">
        <v>4278</v>
      </c>
      <c r="P7" s="15" t="n">
        <v>3915</v>
      </c>
      <c r="Q7" s="15" t="n">
        <v>4265</v>
      </c>
      <c r="R7" s="15" t="n">
        <v>4165</v>
      </c>
      <c r="S7" s="15" t="n">
        <v>4109</v>
      </c>
    </row>
    <row r="8" customFormat="false" ht="15" hidden="false" customHeight="false" outlineLevel="0" collapsed="false">
      <c r="A8" s="5" t="s">
        <v>546</v>
      </c>
      <c r="B8" s="15" t="n">
        <v>9.768</v>
      </c>
      <c r="C8" s="15" t="n">
        <v>9.5064</v>
      </c>
      <c r="D8" s="15" t="n">
        <v>9.3062</v>
      </c>
      <c r="E8" s="15" t="n">
        <v>9.0625</v>
      </c>
      <c r="F8" s="15" t="n">
        <v>8.8524</v>
      </c>
      <c r="G8" s="15" t="n">
        <v>8.649</v>
      </c>
      <c r="H8" s="15" t="n">
        <v>8.5765</v>
      </c>
      <c r="I8" s="15" t="n">
        <v>8.4038</v>
      </c>
      <c r="J8" s="15" t="n">
        <v>8.2245</v>
      </c>
      <c r="K8" s="15" t="n">
        <v>8.0711</v>
      </c>
      <c r="L8" s="15" t="n">
        <v>7.9872</v>
      </c>
      <c r="M8" s="15" t="n">
        <v>7.8315</v>
      </c>
      <c r="N8" s="15" t="n">
        <v>7.7492</v>
      </c>
      <c r="O8" s="15" t="n">
        <v>7.567</v>
      </c>
      <c r="P8" s="15" t="n">
        <v>7.502</v>
      </c>
      <c r="Q8" s="15" t="n">
        <v>7.841</v>
      </c>
      <c r="R8" s="15" t="n">
        <v>7.178</v>
      </c>
      <c r="S8" s="15" t="n">
        <v>6.754</v>
      </c>
    </row>
    <row r="9" customFormat="false" ht="15" hidden="false" customHeight="false" outlineLevel="0" collapsed="false">
      <c r="A9" s="5" t="s">
        <v>547</v>
      </c>
      <c r="B9" s="15" t="n">
        <v>489.875</v>
      </c>
      <c r="C9" s="15" t="n">
        <v>480.5811</v>
      </c>
      <c r="D9" s="15" t="n">
        <v>467.7524</v>
      </c>
      <c r="E9" s="15" t="n">
        <v>453.9464</v>
      </c>
      <c r="F9" s="15" t="n">
        <v>449.9812</v>
      </c>
      <c r="G9" s="15" t="n">
        <v>442.1219</v>
      </c>
      <c r="H9" s="15" t="n">
        <v>427.9764</v>
      </c>
      <c r="I9" s="15" t="n">
        <v>410.2602</v>
      </c>
      <c r="J9" s="15" t="n">
        <v>404.3398</v>
      </c>
      <c r="K9" s="15" t="n">
        <v>380.6866</v>
      </c>
      <c r="L9" s="15" t="n">
        <v>370.7222</v>
      </c>
      <c r="M9" s="15" t="n">
        <v>363.6325</v>
      </c>
      <c r="N9" s="15" t="n">
        <v>361.4648</v>
      </c>
      <c r="O9" s="15" t="n">
        <v>352.31</v>
      </c>
      <c r="P9" s="15" t="n">
        <v>348.86</v>
      </c>
      <c r="Q9" s="15" t="n">
        <v>364.62</v>
      </c>
      <c r="R9" s="15" t="n">
        <v>333.34</v>
      </c>
      <c r="S9" s="15" t="n">
        <v>312.92</v>
      </c>
    </row>
    <row r="10" customFormat="false" ht="15" hidden="false" customHeight="false" outlineLevel="0" collapsed="false">
      <c r="A10" s="16" t="s">
        <v>548</v>
      </c>
      <c r="B10" s="15" t="n">
        <v>20.5101</v>
      </c>
      <c r="C10" s="15" t="n">
        <v>20.121</v>
      </c>
      <c r="D10" s="15" t="n">
        <v>19.5839</v>
      </c>
      <c r="E10" s="15" t="n">
        <v>19.0058</v>
      </c>
      <c r="F10" s="15" t="n">
        <v>18.8398</v>
      </c>
      <c r="G10" s="15" t="n">
        <v>18.5108</v>
      </c>
      <c r="H10" s="15" t="n">
        <v>17.9185</v>
      </c>
      <c r="I10" s="15" t="n">
        <v>17.1768</v>
      </c>
      <c r="J10" s="15" t="n">
        <v>16.9289</v>
      </c>
      <c r="K10" s="15" t="n">
        <v>15.9386</v>
      </c>
      <c r="L10" s="15" t="n">
        <v>15.5214</v>
      </c>
      <c r="M10" s="15" t="n">
        <v>15.2246</v>
      </c>
      <c r="N10" s="15" t="n">
        <v>15.1338</v>
      </c>
      <c r="O10" s="15" t="n">
        <v>14.7505</v>
      </c>
      <c r="P10" s="15" t="n">
        <v>14.6061</v>
      </c>
      <c r="Q10" s="15" t="n">
        <v>15.2659</v>
      </c>
      <c r="R10" s="15" t="n">
        <v>13.9563</v>
      </c>
      <c r="S10" s="15" t="n">
        <v>13.1013</v>
      </c>
    </row>
    <row r="12" customFormat="false" ht="15" hidden="false" customHeight="false" outlineLevel="0" collapsed="false">
      <c r="A12" s="6" t="s">
        <v>549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customFormat="false" ht="15" hidden="false" customHeight="false" outlineLevel="0" collapsed="false">
      <c r="A13" s="5" t="s">
        <v>543</v>
      </c>
      <c r="B13" s="15" t="n">
        <v>11950.0931</v>
      </c>
      <c r="C13" s="15" t="n">
        <v>12158.4727</v>
      </c>
      <c r="D13" s="15" t="n">
        <v>11978.108</v>
      </c>
      <c r="E13" s="15" t="n">
        <v>11588.2041</v>
      </c>
      <c r="F13" s="15" t="n">
        <v>11975.2696</v>
      </c>
      <c r="G13" s="15" t="n">
        <v>10211.1785</v>
      </c>
      <c r="H13" s="15" t="n">
        <v>9175.6896</v>
      </c>
      <c r="I13" s="15" t="n">
        <v>9444.9802</v>
      </c>
      <c r="J13" s="15" t="n">
        <v>9024.7252</v>
      </c>
      <c r="K13" s="15" t="n">
        <v>8946.4422</v>
      </c>
      <c r="L13" s="15" t="n">
        <v>8949.5401</v>
      </c>
      <c r="M13" s="15" t="n">
        <v>9457.9593</v>
      </c>
      <c r="N13" s="15" t="n">
        <v>9527.4702</v>
      </c>
      <c r="O13" s="15" t="n">
        <v>9776</v>
      </c>
      <c r="P13" s="15" t="n">
        <v>9355</v>
      </c>
      <c r="Q13" s="15" t="n">
        <v>10215</v>
      </c>
      <c r="R13" s="15" t="n">
        <v>10973</v>
      </c>
      <c r="S13" s="15" t="n">
        <v>11182</v>
      </c>
    </row>
    <row r="14" customFormat="false" ht="15" hidden="false" customHeight="false" outlineLevel="0" collapsed="false">
      <c r="A14" s="5" t="s">
        <v>544</v>
      </c>
      <c r="B14" s="15" t="n">
        <v>190070.7919</v>
      </c>
      <c r="C14" s="15" t="n">
        <v>186797.451</v>
      </c>
      <c r="D14" s="15" t="n">
        <v>187503.711</v>
      </c>
      <c r="E14" s="15" t="n">
        <v>176426.965</v>
      </c>
      <c r="F14" s="15" t="n">
        <v>183606.8127</v>
      </c>
      <c r="G14" s="15" t="n">
        <v>157320.8505</v>
      </c>
      <c r="H14" s="15" t="n">
        <v>139460.4555</v>
      </c>
      <c r="I14" s="15" t="n">
        <v>141793.0419</v>
      </c>
      <c r="J14" s="15" t="n">
        <v>133027.0338</v>
      </c>
      <c r="K14" s="15" t="n">
        <v>133970.0388</v>
      </c>
      <c r="L14" s="15" t="n">
        <v>131695.1429</v>
      </c>
      <c r="M14" s="15" t="n">
        <v>142076.8135</v>
      </c>
      <c r="N14" s="15" t="n">
        <v>146265</v>
      </c>
      <c r="O14" s="15" t="n">
        <v>148976</v>
      </c>
      <c r="P14" s="15" t="n">
        <v>140185</v>
      </c>
      <c r="Q14" s="15" t="n">
        <v>145001</v>
      </c>
      <c r="R14" s="15" t="n">
        <v>157219</v>
      </c>
      <c r="S14" s="15" t="n">
        <v>163102</v>
      </c>
    </row>
    <row r="15" customFormat="false" ht="15" hidden="false" customHeight="false" outlineLevel="0" collapsed="false">
      <c r="A15" s="5" t="s">
        <v>545</v>
      </c>
      <c r="B15" s="15" t="n">
        <v>4689.0268</v>
      </c>
      <c r="C15" s="15" t="n">
        <v>4624.7317</v>
      </c>
      <c r="D15" s="15" t="n">
        <v>3579.7149</v>
      </c>
      <c r="E15" s="15" t="n">
        <v>2669.0891</v>
      </c>
      <c r="F15" s="15" t="n">
        <v>2526.4403</v>
      </c>
      <c r="G15" s="15" t="n">
        <v>2766.833</v>
      </c>
      <c r="H15" s="15" t="n">
        <v>3325.087</v>
      </c>
      <c r="I15" s="15" t="n">
        <v>2712.5871</v>
      </c>
      <c r="J15" s="15" t="n">
        <v>2646.9884</v>
      </c>
      <c r="K15" s="15" t="n">
        <v>2894.4747</v>
      </c>
      <c r="L15" s="15" t="n">
        <v>2496.0589</v>
      </c>
      <c r="M15" s="15" t="n">
        <v>1528.783</v>
      </c>
      <c r="N15" s="15" t="n">
        <v>2601.1998</v>
      </c>
      <c r="O15" s="15" t="n">
        <v>2480.4</v>
      </c>
      <c r="P15" s="15" t="n">
        <v>1927.9</v>
      </c>
      <c r="Q15" s="15" t="n">
        <v>3234.3</v>
      </c>
      <c r="R15" s="15" t="n">
        <v>4737.2</v>
      </c>
      <c r="S15" s="15" t="n">
        <v>5189.5</v>
      </c>
    </row>
    <row r="16" customFormat="false" ht="15" hidden="false" customHeight="false" outlineLevel="0" collapsed="false">
      <c r="A16" s="5" t="s">
        <v>546</v>
      </c>
      <c r="B16" s="15" t="n">
        <v>39.2384</v>
      </c>
      <c r="C16" s="15" t="n">
        <v>38.0371</v>
      </c>
      <c r="D16" s="15" t="n">
        <v>29.8855</v>
      </c>
      <c r="E16" s="15" t="n">
        <v>23.0328</v>
      </c>
      <c r="F16" s="15" t="n">
        <v>21.0971</v>
      </c>
      <c r="G16" s="15" t="n">
        <v>27.0961</v>
      </c>
      <c r="H16" s="15" t="n">
        <v>36.238</v>
      </c>
      <c r="I16" s="15" t="n">
        <v>28.7199</v>
      </c>
      <c r="J16" s="15" t="n">
        <v>29.3304</v>
      </c>
      <c r="K16" s="15" t="n">
        <v>32.3534</v>
      </c>
      <c r="L16" s="15" t="n">
        <v>27.8904</v>
      </c>
      <c r="M16" s="15" t="n">
        <v>16.164</v>
      </c>
      <c r="N16" s="15" t="n">
        <v>27.3021</v>
      </c>
      <c r="O16" s="15" t="n">
        <v>25.373</v>
      </c>
      <c r="P16" s="15" t="n">
        <v>20.608</v>
      </c>
      <c r="Q16" s="15" t="n">
        <v>31.664</v>
      </c>
      <c r="R16" s="15" t="n">
        <v>43.171</v>
      </c>
      <c r="S16" s="15" t="n">
        <v>46.414</v>
      </c>
    </row>
    <row r="17" customFormat="false" ht="15" hidden="false" customHeight="false" outlineLevel="0" collapsed="false">
      <c r="A17" s="5" t="s">
        <v>547</v>
      </c>
      <c r="B17" s="15" t="n">
        <v>24.6699</v>
      </c>
      <c r="C17" s="15" t="n">
        <v>24.758</v>
      </c>
      <c r="D17" s="15" t="n">
        <v>19.0914</v>
      </c>
      <c r="E17" s="15" t="n">
        <v>15.1286</v>
      </c>
      <c r="F17" s="15" t="n">
        <v>13.7601</v>
      </c>
      <c r="G17" s="15" t="n">
        <v>17.5872</v>
      </c>
      <c r="H17" s="15" t="n">
        <v>23.8425</v>
      </c>
      <c r="I17" s="15" t="n">
        <v>19.1306</v>
      </c>
      <c r="J17" s="15" t="n">
        <v>19.8981</v>
      </c>
      <c r="K17" s="15" t="n">
        <v>21.6054</v>
      </c>
      <c r="L17" s="15" t="n">
        <v>18.9533</v>
      </c>
      <c r="M17" s="15" t="n">
        <v>10.7603</v>
      </c>
      <c r="N17" s="15" t="n">
        <v>17.7842</v>
      </c>
      <c r="O17" s="15" t="n">
        <v>16.651</v>
      </c>
      <c r="P17" s="15" t="n">
        <v>13.75</v>
      </c>
      <c r="Q17" s="15" t="n">
        <v>22.306</v>
      </c>
      <c r="R17" s="15" t="n">
        <v>30.133</v>
      </c>
      <c r="S17" s="15" t="n">
        <v>31.816</v>
      </c>
    </row>
    <row r="18" customFormat="false" ht="15" hidden="false" customHeight="false" outlineLevel="0" collapsed="false">
      <c r="A18" s="16" t="s">
        <v>548</v>
      </c>
      <c r="B18" s="15" t="n">
        <v>1.0329</v>
      </c>
      <c r="C18" s="15" t="n">
        <v>1.0366</v>
      </c>
      <c r="D18" s="15" t="n">
        <v>0.7993</v>
      </c>
      <c r="E18" s="15" t="n">
        <v>0.6334</v>
      </c>
      <c r="F18" s="15" t="n">
        <v>0.5761</v>
      </c>
      <c r="G18" s="15" t="n">
        <v>0.7363</v>
      </c>
      <c r="H18" s="15" t="n">
        <v>0.9982</v>
      </c>
      <c r="I18" s="15" t="n">
        <v>0.801</v>
      </c>
      <c r="J18" s="15" t="n">
        <v>0.8331</v>
      </c>
      <c r="K18" s="15" t="n">
        <v>0.9046</v>
      </c>
      <c r="L18" s="15" t="n">
        <v>0.7935</v>
      </c>
      <c r="M18" s="15" t="n">
        <v>0.4505</v>
      </c>
      <c r="N18" s="15" t="n">
        <v>0.7446</v>
      </c>
      <c r="O18" s="15" t="n">
        <v>0.6971</v>
      </c>
      <c r="P18" s="15" t="n">
        <v>0.5757</v>
      </c>
      <c r="Q18" s="15" t="n">
        <v>0.9339</v>
      </c>
      <c r="R18" s="15" t="n">
        <v>1.2616</v>
      </c>
      <c r="S18" s="15" t="n">
        <v>1.3321</v>
      </c>
    </row>
    <row r="20" customFormat="false" ht="15" hidden="false" customHeight="false" outlineLevel="0" collapsed="false">
      <c r="A20" s="6" t="s">
        <v>550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customFormat="false" ht="15" hidden="false" customHeight="false" outlineLevel="0" collapsed="false">
      <c r="A21" s="7" t="s">
        <v>551</v>
      </c>
      <c r="B21" s="7" t="s">
        <v>552</v>
      </c>
      <c r="C21" s="7" t="s">
        <v>553</v>
      </c>
      <c r="D21" s="7" t="s">
        <v>554</v>
      </c>
      <c r="E21" s="7" t="s">
        <v>555</v>
      </c>
      <c r="F21" s="7" t="s">
        <v>76</v>
      </c>
      <c r="G21" s="7" t="s">
        <v>307</v>
      </c>
    </row>
    <row r="22" customFormat="false" ht="23.85" hidden="false" customHeight="false" outlineLevel="0" collapsed="false">
      <c r="A22" s="5" t="s">
        <v>556</v>
      </c>
      <c r="B22" s="11" t="n">
        <v>359.847</v>
      </c>
      <c r="C22" s="17" t="n">
        <v>15.0661</v>
      </c>
      <c r="D22" s="11" t="n">
        <v>7.714</v>
      </c>
      <c r="E22" s="11" t="n">
        <v>0.2663</v>
      </c>
      <c r="F22" s="5" t="s">
        <v>88</v>
      </c>
      <c r="G22" s="5" t="s">
        <v>557</v>
      </c>
    </row>
    <row r="23" customFormat="false" ht="23.85" hidden="false" customHeight="false" outlineLevel="0" collapsed="false">
      <c r="A23" s="5" t="s">
        <v>558</v>
      </c>
      <c r="B23" s="11" t="n">
        <v>22.9499</v>
      </c>
      <c r="C23" s="17" t="n">
        <v>0.9609</v>
      </c>
      <c r="D23" s="11" t="n">
        <v>35.927</v>
      </c>
      <c r="E23" s="11" t="n">
        <v>0.299</v>
      </c>
      <c r="F23" s="5" t="s">
        <v>88</v>
      </c>
      <c r="G23" s="5" t="s">
        <v>559</v>
      </c>
    </row>
    <row r="24" customFormat="false" ht="23.85" hidden="false" customHeight="false" outlineLevel="0" collapsed="false">
      <c r="A24" s="5" t="s">
        <v>560</v>
      </c>
      <c r="B24" s="11" t="n">
        <v>21.5703</v>
      </c>
      <c r="C24" s="17" t="n">
        <v>0.9031</v>
      </c>
      <c r="D24" s="11" t="n">
        <v>35.041</v>
      </c>
      <c r="E24" s="11" t="n">
        <v>0.2791</v>
      </c>
      <c r="F24" s="5" t="s">
        <v>88</v>
      </c>
      <c r="G24" s="5" t="s">
        <v>561</v>
      </c>
    </row>
    <row r="25" customFormat="false" ht="23.85" hidden="false" customHeight="false" outlineLevel="0" collapsed="false">
      <c r="A25" s="5" t="s">
        <v>562</v>
      </c>
      <c r="B25" s="11" t="n">
        <v>27.5851</v>
      </c>
      <c r="C25" s="17" t="n">
        <v>1.1549</v>
      </c>
      <c r="D25" s="11" t="n">
        <v>38.493</v>
      </c>
      <c r="E25" s="11" t="n">
        <v>0.3658</v>
      </c>
      <c r="F25" s="5" t="s">
        <v>88</v>
      </c>
      <c r="G25" s="5" t="s">
        <v>563</v>
      </c>
    </row>
    <row r="27" customFormat="false" ht="30" hidden="false" customHeight="true" outlineLevel="0" collapsed="false">
      <c r="A27" s="14" t="s">
        <v>564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</sheetData>
  <mergeCells count="5">
    <mergeCell ref="A1:T1"/>
    <mergeCell ref="A3:T3"/>
    <mergeCell ref="A12:T12"/>
    <mergeCell ref="A20:T20"/>
    <mergeCell ref="A27:T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0" min="2" style="0" width="8"/>
  </cols>
  <sheetData>
    <row r="1" customFormat="false" ht="24" hidden="false" customHeight="true" outlineLevel="0" collapsed="false">
      <c r="A1" s="1" t="s">
        <v>565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3" t="s">
        <v>566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customFormat="false" ht="15" hidden="false" customHeight="false" outlineLevel="0" collapsed="false">
      <c r="A4" s="7" t="s">
        <v>567</v>
      </c>
      <c r="B4" s="7" t="s">
        <v>528</v>
      </c>
      <c r="C4" s="7" t="s">
        <v>529</v>
      </c>
      <c r="D4" s="7" t="s">
        <v>530</v>
      </c>
      <c r="E4" s="7" t="s">
        <v>531</v>
      </c>
      <c r="F4" s="7" t="s">
        <v>532</v>
      </c>
      <c r="G4" s="7" t="s">
        <v>533</v>
      </c>
      <c r="H4" s="7" t="s">
        <v>534</v>
      </c>
      <c r="I4" s="7" t="s">
        <v>297</v>
      </c>
      <c r="J4" s="7" t="s">
        <v>535</v>
      </c>
      <c r="K4" s="7" t="s">
        <v>536</v>
      </c>
      <c r="L4" s="7" t="s">
        <v>537</v>
      </c>
      <c r="M4" s="7" t="s">
        <v>538</v>
      </c>
      <c r="N4" s="7" t="s">
        <v>539</v>
      </c>
      <c r="O4" s="7" t="s">
        <v>540</v>
      </c>
      <c r="P4" s="7" t="s">
        <v>541</v>
      </c>
      <c r="Q4" s="7" t="s">
        <v>286</v>
      </c>
      <c r="R4" s="7" t="s">
        <v>542</v>
      </c>
      <c r="S4" s="7" t="s">
        <v>239</v>
      </c>
      <c r="T4" s="7" t="s">
        <v>244</v>
      </c>
    </row>
    <row r="5" customFormat="false" ht="15" hidden="false" customHeight="false" outlineLevel="0" collapsed="false">
      <c r="A5" s="18" t="s">
        <v>568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customFormat="false" ht="15" hidden="false" customHeight="false" outlineLevel="0" collapsed="false">
      <c r="A6" s="19" t="s">
        <v>569</v>
      </c>
      <c r="B6" s="15" t="n">
        <v>1004000</v>
      </c>
      <c r="C6" s="15" t="n">
        <v>1004000</v>
      </c>
      <c r="D6" s="15" t="n">
        <v>1030000</v>
      </c>
      <c r="E6" s="15" t="n">
        <v>1032000</v>
      </c>
      <c r="F6" s="15" t="n">
        <v>1001000</v>
      </c>
      <c r="G6" s="15" t="n">
        <v>900000</v>
      </c>
      <c r="H6" s="15" t="n">
        <v>739000</v>
      </c>
      <c r="I6" s="15" t="n">
        <v>691000</v>
      </c>
      <c r="J6" s="15" t="n">
        <v>654000</v>
      </c>
      <c r="K6" s="15" t="n">
        <v>624000</v>
      </c>
      <c r="L6" s="15" t="n">
        <v>611000</v>
      </c>
      <c r="M6" s="15" t="n">
        <v>569000</v>
      </c>
      <c r="N6" s="15" t="n">
        <v>546000</v>
      </c>
      <c r="O6" s="15" t="n">
        <v>565000</v>
      </c>
      <c r="P6" s="15" t="n">
        <v>543000</v>
      </c>
      <c r="Q6" s="15" t="n">
        <v>589000</v>
      </c>
      <c r="R6" s="15" t="n">
        <v>606000</v>
      </c>
      <c r="S6" s="15" t="n">
        <v>631000</v>
      </c>
      <c r="T6" s="15" t="n">
        <v>665000</v>
      </c>
    </row>
    <row r="7" customFormat="false" ht="15" hidden="false" customHeight="false" outlineLevel="0" collapsed="false">
      <c r="A7" s="19" t="s">
        <v>570</v>
      </c>
      <c r="B7" s="15" t="n">
        <v>13424</v>
      </c>
      <c r="C7" s="15" t="n">
        <v>14017</v>
      </c>
      <c r="D7" s="15" t="n">
        <v>13943</v>
      </c>
      <c r="E7" s="15" t="n">
        <v>13744</v>
      </c>
      <c r="F7" s="15" t="n">
        <v>13801</v>
      </c>
      <c r="G7" s="15" t="n">
        <v>12117</v>
      </c>
      <c r="H7" s="15" t="n">
        <v>9545</v>
      </c>
      <c r="I7" s="15" t="n">
        <v>8966</v>
      </c>
      <c r="J7" s="15" t="n">
        <v>8162</v>
      </c>
      <c r="K7" s="15" t="n">
        <v>8094</v>
      </c>
      <c r="L7" s="15" t="n">
        <v>7503</v>
      </c>
      <c r="M7" s="15" t="n">
        <v>7027</v>
      </c>
      <c r="N7" s="15" t="n">
        <v>7137</v>
      </c>
      <c r="O7" s="15" t="n">
        <v>7596</v>
      </c>
      <c r="P7" s="15" t="n">
        <v>7325</v>
      </c>
      <c r="Q7" s="15" t="n">
        <v>7612</v>
      </c>
      <c r="R7" s="15" t="n">
        <v>7898</v>
      </c>
      <c r="S7" s="15" t="n">
        <v>8012</v>
      </c>
      <c r="T7" s="15" t="n">
        <v>8201</v>
      </c>
    </row>
    <row r="8" customFormat="false" ht="15" hidden="false" customHeight="false" outlineLevel="0" collapsed="false">
      <c r="A8" s="19" t="s">
        <v>571</v>
      </c>
      <c r="B8" s="15" t="n">
        <v>738883</v>
      </c>
      <c r="C8" s="15" t="n">
        <v>771899</v>
      </c>
      <c r="D8" s="15" t="n">
        <v>802856</v>
      </c>
      <c r="E8" s="15" t="n">
        <v>766983</v>
      </c>
      <c r="F8" s="15" t="n">
        <v>795071</v>
      </c>
      <c r="G8" s="15" t="n">
        <v>700730</v>
      </c>
      <c r="H8" s="15" t="n">
        <v>559142</v>
      </c>
      <c r="I8" s="15" t="n">
        <v>477190</v>
      </c>
      <c r="J8" s="15" t="n">
        <v>449036</v>
      </c>
      <c r="K8" s="15" t="n">
        <v>445140</v>
      </c>
      <c r="L8" s="15" t="n">
        <v>404835</v>
      </c>
      <c r="M8" s="15" t="n">
        <v>366499</v>
      </c>
      <c r="N8" s="15" t="n">
        <v>374236</v>
      </c>
      <c r="O8" s="15" t="n">
        <v>389627</v>
      </c>
      <c r="P8" s="15" t="n">
        <v>375600</v>
      </c>
      <c r="Q8" s="15" t="n">
        <v>389874</v>
      </c>
      <c r="R8" s="15" t="n">
        <v>403000</v>
      </c>
      <c r="S8" s="15" t="n">
        <v>412000</v>
      </c>
      <c r="T8" s="15" t="n">
        <v>428000</v>
      </c>
    </row>
    <row r="9" customFormat="false" ht="15" hidden="false" customHeight="false" outlineLevel="0" collapsed="false">
      <c r="A9" s="18" t="s">
        <v>572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customFormat="false" ht="15" hidden="false" customHeight="false" outlineLevel="0" collapsed="false">
      <c r="A10" s="19" t="s">
        <v>569</v>
      </c>
      <c r="B10" s="15" t="n">
        <v>2188000</v>
      </c>
      <c r="C10" s="15" t="n">
        <v>2242000</v>
      </c>
      <c r="D10" s="15" t="n">
        <v>2164000</v>
      </c>
      <c r="E10" s="15" t="n">
        <v>2225000</v>
      </c>
      <c r="F10" s="15" t="n">
        <v>2274000</v>
      </c>
      <c r="G10" s="15" t="n">
        <v>2027000</v>
      </c>
      <c r="H10" s="15" t="n">
        <v>1694000</v>
      </c>
      <c r="I10" s="15" t="n">
        <v>1624000</v>
      </c>
      <c r="J10" s="15" t="n">
        <v>1554000</v>
      </c>
      <c r="K10" s="15" t="n">
        <v>1535000</v>
      </c>
      <c r="L10" s="15" t="n">
        <v>1507000</v>
      </c>
      <c r="M10" s="15" t="n">
        <v>1513000</v>
      </c>
      <c r="N10" s="15" t="n">
        <v>1526000</v>
      </c>
      <c r="O10" s="15" t="n">
        <v>1615000</v>
      </c>
      <c r="P10" s="15" t="n">
        <v>1560000</v>
      </c>
      <c r="Q10" s="15" t="n">
        <v>1628000</v>
      </c>
      <c r="R10" s="15" t="n">
        <v>1712000</v>
      </c>
      <c r="S10" s="15" t="n">
        <v>1780000</v>
      </c>
      <c r="T10" s="15" t="n">
        <v>1850000</v>
      </c>
    </row>
    <row r="11" customFormat="false" ht="15" hidden="false" customHeight="false" outlineLevel="0" collapsed="false">
      <c r="A11" s="19" t="s">
        <v>570</v>
      </c>
      <c r="B11" s="15" t="n">
        <v>30195</v>
      </c>
      <c r="C11" s="15" t="n">
        <v>30682</v>
      </c>
      <c r="D11" s="15" t="n">
        <v>29609</v>
      </c>
      <c r="E11" s="15" t="n">
        <v>29525</v>
      </c>
      <c r="F11" s="15" t="n">
        <v>30475</v>
      </c>
      <c r="G11" s="15" t="n">
        <v>26947</v>
      </c>
      <c r="H11" s="15" t="n">
        <v>23886</v>
      </c>
      <c r="I11" s="15" t="n">
        <v>23068</v>
      </c>
      <c r="J11" s="15" t="n">
        <v>21768</v>
      </c>
      <c r="K11" s="15" t="n">
        <v>21927</v>
      </c>
      <c r="L11" s="15" t="n">
        <v>21044</v>
      </c>
      <c r="M11" s="15" t="n">
        <v>21827</v>
      </c>
      <c r="N11" s="15" t="n">
        <v>22630</v>
      </c>
      <c r="O11" s="15" t="n">
        <v>24368</v>
      </c>
      <c r="P11" s="15" t="n">
        <v>23010</v>
      </c>
      <c r="Q11" s="15" t="n">
        <v>23987</v>
      </c>
      <c r="R11" s="15" t="n">
        <v>25100</v>
      </c>
      <c r="S11" s="15" t="n">
        <v>26120</v>
      </c>
      <c r="T11" s="15" t="n">
        <v>27013</v>
      </c>
    </row>
    <row r="12" customFormat="false" ht="15" hidden="false" customHeight="false" outlineLevel="0" collapsed="false">
      <c r="A12" s="19" t="s">
        <v>571</v>
      </c>
      <c r="B12" s="15" t="n">
        <v>360884</v>
      </c>
      <c r="C12" s="15" t="n">
        <v>363879</v>
      </c>
      <c r="D12" s="15" t="n">
        <v>351244</v>
      </c>
      <c r="E12" s="15" t="n">
        <v>348453</v>
      </c>
      <c r="F12" s="15" t="n">
        <v>364387</v>
      </c>
      <c r="G12" s="15" t="n">
        <v>323431</v>
      </c>
      <c r="H12" s="15" t="n">
        <v>288575</v>
      </c>
      <c r="I12" s="15" t="n">
        <v>270770</v>
      </c>
      <c r="J12" s="15" t="n">
        <v>254644</v>
      </c>
      <c r="K12" s="15" t="n">
        <v>254519</v>
      </c>
      <c r="L12" s="15" t="n">
        <v>244775</v>
      </c>
      <c r="M12" s="15" t="n">
        <v>254099</v>
      </c>
      <c r="N12" s="15" t="n">
        <v>261582</v>
      </c>
      <c r="O12" s="15" t="n">
        <v>278069</v>
      </c>
      <c r="P12" s="15" t="n">
        <v>268000</v>
      </c>
      <c r="Q12" s="15" t="n">
        <v>279000</v>
      </c>
      <c r="R12" s="15" t="n">
        <v>291000</v>
      </c>
      <c r="S12" s="15" t="n">
        <v>301000</v>
      </c>
      <c r="T12" s="15" t="n">
        <v>310000</v>
      </c>
    </row>
    <row r="13" customFormat="false" ht="15" hidden="false" customHeight="false" outlineLevel="0" collapsed="false">
      <c r="A13" s="18" t="s">
        <v>573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customFormat="false" ht="15" hidden="false" customHeight="false" outlineLevel="0" collapsed="false">
      <c r="A14" s="19" t="s">
        <v>569</v>
      </c>
      <c r="B14" s="15" t="n">
        <v>2932000</v>
      </c>
      <c r="C14" s="15" t="n">
        <v>2854000</v>
      </c>
      <c r="D14" s="15" t="n">
        <v>2893000</v>
      </c>
      <c r="E14" s="15" t="n">
        <v>3016000</v>
      </c>
      <c r="F14" s="15" t="n">
        <v>3307000</v>
      </c>
      <c r="G14" s="15" t="n">
        <v>2823000</v>
      </c>
      <c r="H14" s="15" t="n">
        <v>2066000</v>
      </c>
      <c r="I14" s="15" t="n">
        <v>2094000</v>
      </c>
      <c r="J14" s="15" t="n">
        <v>2055000</v>
      </c>
      <c r="K14" s="15" t="n">
        <v>1984000</v>
      </c>
      <c r="L14" s="15" t="n">
        <v>2042000</v>
      </c>
      <c r="M14" s="15" t="n">
        <v>1984000</v>
      </c>
      <c r="N14" s="15" t="n">
        <v>2130000</v>
      </c>
      <c r="O14" s="15" t="n">
        <v>2257000</v>
      </c>
      <c r="P14" s="15" t="n">
        <v>2180000</v>
      </c>
      <c r="Q14" s="15" t="n">
        <v>2285000</v>
      </c>
      <c r="R14" s="15" t="n">
        <v>2377000</v>
      </c>
      <c r="S14" s="15" t="n">
        <v>2461000</v>
      </c>
      <c r="T14" s="15" t="n">
        <v>2550000</v>
      </c>
    </row>
    <row r="15" customFormat="false" ht="15" hidden="false" customHeight="false" outlineLevel="0" collapsed="false">
      <c r="A15" s="19" t="s">
        <v>570</v>
      </c>
      <c r="B15" s="15" t="n">
        <v>43160</v>
      </c>
      <c r="C15" s="15" t="n">
        <v>41050</v>
      </c>
      <c r="D15" s="15" t="n">
        <v>41518</v>
      </c>
      <c r="E15" s="15" t="n">
        <v>41243</v>
      </c>
      <c r="F15" s="15" t="n">
        <v>43670</v>
      </c>
      <c r="G15" s="15" t="n">
        <v>39877</v>
      </c>
      <c r="H15" s="15" t="n">
        <v>33460</v>
      </c>
      <c r="I15" s="15" t="n">
        <v>33317</v>
      </c>
      <c r="J15" s="15" t="n">
        <v>31989</v>
      </c>
      <c r="K15" s="15" t="n">
        <v>31491</v>
      </c>
      <c r="L15" s="15" t="n">
        <v>31465</v>
      </c>
      <c r="M15" s="15" t="n">
        <v>31643</v>
      </c>
      <c r="N15" s="15" t="n">
        <v>35427</v>
      </c>
      <c r="O15" s="15" t="n">
        <v>38254</v>
      </c>
      <c r="P15" s="15" t="n">
        <v>36500</v>
      </c>
      <c r="Q15" s="15" t="n">
        <v>38012</v>
      </c>
      <c r="R15" s="15" t="n">
        <v>39487</v>
      </c>
      <c r="S15" s="15" t="n">
        <v>40826</v>
      </c>
      <c r="T15" s="15" t="n">
        <v>42298</v>
      </c>
    </row>
    <row r="16" customFormat="false" ht="15" hidden="false" customHeight="false" outlineLevel="0" collapsed="false">
      <c r="A16" s="19" t="s">
        <v>571</v>
      </c>
      <c r="B16" s="15" t="n">
        <v>213992</v>
      </c>
      <c r="C16" s="15" t="n">
        <v>201851</v>
      </c>
      <c r="D16" s="15" t="n">
        <v>202763</v>
      </c>
      <c r="E16" s="15" t="n">
        <v>202940</v>
      </c>
      <c r="F16" s="15" t="n">
        <v>214417</v>
      </c>
      <c r="G16" s="15" t="n">
        <v>197265</v>
      </c>
      <c r="H16" s="15" t="n">
        <v>165613</v>
      </c>
      <c r="I16" s="15" t="n">
        <v>164096</v>
      </c>
      <c r="J16" s="15" t="n">
        <v>157105</v>
      </c>
      <c r="K16" s="15" t="n">
        <v>154418</v>
      </c>
      <c r="L16" s="15" t="n">
        <v>154262</v>
      </c>
      <c r="M16" s="15" t="n">
        <v>154151</v>
      </c>
      <c r="N16" s="15" t="n">
        <v>171668</v>
      </c>
      <c r="O16" s="15" t="n">
        <v>184806</v>
      </c>
      <c r="P16" s="15" t="n">
        <v>177500</v>
      </c>
      <c r="Q16" s="15" t="n">
        <v>184200</v>
      </c>
      <c r="R16" s="15" t="n">
        <v>191500</v>
      </c>
      <c r="S16" s="15" t="n">
        <v>198700</v>
      </c>
      <c r="T16" s="15" t="n">
        <v>206500</v>
      </c>
    </row>
    <row r="17" customFormat="false" ht="15" hidden="false" customHeight="false" outlineLevel="0" collapsed="false">
      <c r="A17" s="18" t="s">
        <v>574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customFormat="false" ht="15" hidden="false" customHeight="false" outlineLevel="0" collapsed="false">
      <c r="A18" s="19" t="s">
        <v>569</v>
      </c>
      <c r="B18" s="15" t="n">
        <v>2385000</v>
      </c>
      <c r="C18" s="15" t="n">
        <v>2206000</v>
      </c>
      <c r="D18" s="15" t="n">
        <v>2344000</v>
      </c>
      <c r="E18" s="15" t="n">
        <v>2458000</v>
      </c>
      <c r="F18" s="15" t="n">
        <v>2444000</v>
      </c>
      <c r="G18" s="15" t="n">
        <v>1932000</v>
      </c>
      <c r="H18" s="15" t="n">
        <v>1375000</v>
      </c>
      <c r="I18" s="15" t="n">
        <v>1375000</v>
      </c>
      <c r="J18" s="15" t="n">
        <v>1358000</v>
      </c>
      <c r="K18" s="15" t="n">
        <v>1364000</v>
      </c>
      <c r="L18" s="15" t="n">
        <v>1269000</v>
      </c>
      <c r="M18" s="15" t="n">
        <v>1449000</v>
      </c>
      <c r="N18" s="15" t="n">
        <v>1472000</v>
      </c>
      <c r="O18" s="15" t="n">
        <v>1525000</v>
      </c>
      <c r="P18" s="15" t="n">
        <v>1485000</v>
      </c>
      <c r="Q18" s="15" t="n">
        <v>1560000</v>
      </c>
      <c r="R18" s="15" t="n">
        <v>1628000</v>
      </c>
      <c r="S18" s="15" t="n">
        <v>1689000</v>
      </c>
      <c r="T18" s="15" t="n">
        <v>1747000</v>
      </c>
    </row>
    <row r="19" customFormat="false" ht="15" hidden="false" customHeight="false" outlineLevel="0" collapsed="false">
      <c r="A19" s="19" t="s">
        <v>570</v>
      </c>
      <c r="B19" s="15" t="n">
        <v>33401</v>
      </c>
      <c r="C19" s="15" t="n">
        <v>30538</v>
      </c>
      <c r="D19" s="15" t="n">
        <v>32449</v>
      </c>
      <c r="E19" s="15" t="n">
        <v>31965</v>
      </c>
      <c r="F19" s="15" t="n">
        <v>31341</v>
      </c>
      <c r="G19" s="15" t="n">
        <v>25200</v>
      </c>
      <c r="H19" s="15" t="n">
        <v>23291</v>
      </c>
      <c r="I19" s="15" t="n">
        <v>22196</v>
      </c>
      <c r="J19" s="15" t="n">
        <v>22095</v>
      </c>
      <c r="K19" s="15" t="n">
        <v>22405</v>
      </c>
      <c r="L19" s="15" t="n">
        <v>20718</v>
      </c>
      <c r="M19" s="15" t="n">
        <v>23749</v>
      </c>
      <c r="N19" s="15" t="n">
        <v>24067</v>
      </c>
      <c r="O19" s="15" t="n">
        <v>26889</v>
      </c>
      <c r="P19" s="15" t="n">
        <v>25700</v>
      </c>
      <c r="Q19" s="15" t="n">
        <v>26812</v>
      </c>
      <c r="R19" s="15" t="n">
        <v>27937</v>
      </c>
      <c r="S19" s="15" t="n">
        <v>28927</v>
      </c>
      <c r="T19" s="15" t="n">
        <v>29623</v>
      </c>
    </row>
    <row r="20" customFormat="false" ht="15" hidden="false" customHeight="false" outlineLevel="0" collapsed="false">
      <c r="A20" s="19" t="s">
        <v>571</v>
      </c>
      <c r="B20" s="15" t="n">
        <v>91023</v>
      </c>
      <c r="C20" s="15" t="n">
        <v>83334</v>
      </c>
      <c r="D20" s="15" t="n">
        <v>88538</v>
      </c>
      <c r="E20" s="15" t="n">
        <v>86609</v>
      </c>
      <c r="F20" s="15" t="n">
        <v>84185</v>
      </c>
      <c r="G20" s="15" t="n">
        <v>68285</v>
      </c>
      <c r="H20" s="15" t="n">
        <v>62701</v>
      </c>
      <c r="I20" s="15" t="n">
        <v>60456</v>
      </c>
      <c r="J20" s="15" t="n">
        <v>59680</v>
      </c>
      <c r="K20" s="15" t="n">
        <v>60497</v>
      </c>
      <c r="L20" s="15" t="n">
        <v>55884</v>
      </c>
      <c r="M20" s="15" t="n">
        <v>64525</v>
      </c>
      <c r="N20" s="15" t="n">
        <v>65841</v>
      </c>
      <c r="O20" s="15" t="n">
        <v>72774</v>
      </c>
      <c r="P20" s="15" t="n">
        <v>69500</v>
      </c>
      <c r="Q20" s="15" t="n">
        <v>72400</v>
      </c>
      <c r="R20" s="15" t="n">
        <v>75380</v>
      </c>
      <c r="S20" s="15" t="n">
        <v>78100</v>
      </c>
      <c r="T20" s="15" t="n">
        <v>80500</v>
      </c>
    </row>
    <row r="21" customFormat="false" ht="15" hidden="false" customHeight="false" outlineLevel="0" collapsed="false">
      <c r="A21" s="18" t="s">
        <v>575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customFormat="false" ht="15" hidden="false" customHeight="false" outlineLevel="0" collapsed="false">
      <c r="A22" s="19" t="s">
        <v>569</v>
      </c>
      <c r="B22" s="15" t="n">
        <v>5171000</v>
      </c>
      <c r="C22" s="15" t="n">
        <v>5138000</v>
      </c>
      <c r="D22" s="15" t="n">
        <v>5238000</v>
      </c>
      <c r="E22" s="15" t="n">
        <v>4560000</v>
      </c>
      <c r="F22" s="15" t="n">
        <v>5208000</v>
      </c>
      <c r="G22" s="15" t="n">
        <v>3492000</v>
      </c>
      <c r="H22" s="15" t="n">
        <v>2102000</v>
      </c>
      <c r="I22" s="15" t="n">
        <v>2512000</v>
      </c>
      <c r="J22" s="15" t="n">
        <v>2223000</v>
      </c>
      <c r="K22" s="15" t="n">
        <v>2075000</v>
      </c>
      <c r="L22" s="15" t="n">
        <v>2053000</v>
      </c>
      <c r="M22" s="15" t="n">
        <v>2239000</v>
      </c>
      <c r="N22" s="15" t="n">
        <v>2249000</v>
      </c>
      <c r="O22" s="15" t="n">
        <v>2435000</v>
      </c>
      <c r="P22" s="15" t="n">
        <v>2350000</v>
      </c>
      <c r="Q22" s="15" t="n">
        <v>2470000</v>
      </c>
      <c r="R22" s="15" t="n">
        <v>2582000</v>
      </c>
      <c r="S22" s="15" t="n">
        <v>2685000</v>
      </c>
      <c r="T22" s="15" t="n">
        <v>2780000</v>
      </c>
    </row>
    <row r="23" customFormat="false" ht="15" hidden="false" customHeight="false" outlineLevel="0" collapsed="false">
      <c r="A23" s="19" t="s">
        <v>570</v>
      </c>
      <c r="B23" s="15" t="n">
        <v>66880</v>
      </c>
      <c r="C23" s="15" t="n">
        <v>63118</v>
      </c>
      <c r="D23" s="15" t="n">
        <v>62938</v>
      </c>
      <c r="E23" s="15" t="n">
        <v>51145</v>
      </c>
      <c r="F23" s="15" t="n">
        <v>56485</v>
      </c>
      <c r="G23" s="15" t="n">
        <v>38698</v>
      </c>
      <c r="H23" s="15" t="n">
        <v>33829</v>
      </c>
      <c r="I23" s="15" t="n">
        <v>39691</v>
      </c>
      <c r="J23" s="15" t="n">
        <v>33796</v>
      </c>
      <c r="K23" s="15" t="n">
        <v>32900</v>
      </c>
      <c r="L23" s="15" t="n">
        <v>31904</v>
      </c>
      <c r="M23" s="15" t="n">
        <v>35437</v>
      </c>
      <c r="N23" s="15" t="n">
        <v>35651</v>
      </c>
      <c r="O23" s="15" t="n">
        <v>40877</v>
      </c>
      <c r="P23" s="15" t="n">
        <v>38900</v>
      </c>
      <c r="Q23" s="15" t="n">
        <v>40562</v>
      </c>
      <c r="R23" s="15" t="n">
        <v>42295</v>
      </c>
      <c r="S23" s="15" t="n">
        <v>44120</v>
      </c>
      <c r="T23" s="15" t="n">
        <v>45600</v>
      </c>
    </row>
    <row r="24" customFormat="false" ht="15" hidden="false" customHeight="false" outlineLevel="0" collapsed="false">
      <c r="A24" s="19" t="s">
        <v>571</v>
      </c>
      <c r="B24" s="15" t="n">
        <v>79018</v>
      </c>
      <c r="C24" s="15" t="n">
        <v>75913</v>
      </c>
      <c r="D24" s="15" t="n">
        <v>75013</v>
      </c>
      <c r="E24" s="15" t="n">
        <v>63968</v>
      </c>
      <c r="F24" s="15" t="n">
        <v>69703</v>
      </c>
      <c r="G24" s="15" t="n">
        <v>49961</v>
      </c>
      <c r="H24" s="15" t="n">
        <v>45283</v>
      </c>
      <c r="I24" s="15" t="n">
        <v>51360</v>
      </c>
      <c r="J24" s="15" t="n">
        <v>42592</v>
      </c>
      <c r="K24" s="15" t="n">
        <v>42432</v>
      </c>
      <c r="L24" s="15" t="n">
        <v>41746</v>
      </c>
      <c r="M24" s="15" t="n">
        <v>46176</v>
      </c>
      <c r="N24" s="15" t="n">
        <v>47405</v>
      </c>
      <c r="O24" s="15" t="n">
        <v>53606</v>
      </c>
      <c r="P24" s="15" t="n">
        <v>51400</v>
      </c>
      <c r="Q24" s="15" t="n">
        <v>53526</v>
      </c>
      <c r="R24" s="15" t="n">
        <v>55820</v>
      </c>
      <c r="S24" s="15" t="n">
        <v>57910</v>
      </c>
      <c r="T24" s="15" t="n">
        <v>59800</v>
      </c>
    </row>
    <row r="26" customFormat="false" ht="15" hidden="false" customHeight="false" outlineLevel="0" collapsed="false">
      <c r="A26" s="20" t="s">
        <v>576</v>
      </c>
      <c r="B26" s="21" t="n">
        <f aca="false">B7+B11+B15+B19+B23</f>
        <v>187060</v>
      </c>
      <c r="C26" s="21" t="n">
        <f aca="false">C7+C11+C15+C19+C23</f>
        <v>179405</v>
      </c>
      <c r="D26" s="21" t="n">
        <f aca="false">D7+D11+D15+D19+D23</f>
        <v>180457</v>
      </c>
      <c r="E26" s="21" t="n">
        <f aca="false">E7+E11+E15+E19+E23</f>
        <v>167622</v>
      </c>
      <c r="F26" s="21" t="n">
        <f aca="false">F7+F11+F15+F19+F23</f>
        <v>175772</v>
      </c>
      <c r="G26" s="21" t="n">
        <f aca="false">G7+G11+G15+G19+G23</f>
        <v>142839</v>
      </c>
      <c r="H26" s="21" t="n">
        <f aca="false">H7+H11+H15+H19+H23</f>
        <v>124011</v>
      </c>
      <c r="I26" s="21" t="n">
        <f aca="false">I7+I11+I15+I19+I23</f>
        <v>127238</v>
      </c>
      <c r="J26" s="21" t="n">
        <f aca="false">J7+J11+J15+J19+J23</f>
        <v>117810</v>
      </c>
      <c r="K26" s="21" t="n">
        <f aca="false">K7+K11+K15+K19+K23</f>
        <v>116817</v>
      </c>
      <c r="L26" s="21" t="n">
        <f aca="false">L7+L11+L15+L19+L23</f>
        <v>112634</v>
      </c>
      <c r="M26" s="21" t="n">
        <f aca="false">M7+M11+M15+M19+M23</f>
        <v>119683</v>
      </c>
      <c r="N26" s="21" t="n">
        <f aca="false">N7+N11+N15+N19+N23</f>
        <v>124912</v>
      </c>
      <c r="O26" s="21" t="n">
        <f aca="false">O7+O11+O15+O19+O23</f>
        <v>137984</v>
      </c>
      <c r="P26" s="21" t="n">
        <f aca="false">P7+P11+P15+P19+P23</f>
        <v>131435</v>
      </c>
      <c r="Q26" s="21" t="n">
        <f aca="false">Q7+Q11+Q15+Q19+Q23</f>
        <v>136985</v>
      </c>
      <c r="R26" s="21" t="n">
        <f aca="false">R7+R11+R15+R19+R23</f>
        <v>142717</v>
      </c>
      <c r="S26" s="21" t="n">
        <f aca="false">S7+S11+S15+S19+S23</f>
        <v>148005</v>
      </c>
      <c r="T26" s="21" t="n">
        <f aca="false">T7+T11+T15+T19+T23</f>
        <v>152735</v>
      </c>
    </row>
    <row r="28" customFormat="false" ht="15" hidden="false" customHeight="false" outlineLevel="0" collapsed="false">
      <c r="A28" s="6" t="s">
        <v>577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customFormat="false" ht="15" hidden="false" customHeight="false" outlineLevel="0" collapsed="false">
      <c r="A29" s="22" t="s">
        <v>578</v>
      </c>
      <c r="B29" s="23" t="n">
        <f aca="false">B7/B26*100</f>
        <v>7.17630706725115</v>
      </c>
      <c r="C29" s="23" t="n">
        <f aca="false">C7/C26*100</f>
        <v>7.81304868872105</v>
      </c>
      <c r="D29" s="23" t="n">
        <f aca="false">D7/D26*100</f>
        <v>7.72649440032806</v>
      </c>
      <c r="E29" s="23" t="n">
        <f aca="false">E7/E26*100</f>
        <v>8.19940103327726</v>
      </c>
      <c r="F29" s="23" t="n">
        <f aca="false">F7/F26*100</f>
        <v>7.85164872675967</v>
      </c>
      <c r="G29" s="23" t="n">
        <f aca="false">G7/G26*100</f>
        <v>8.48297733812194</v>
      </c>
      <c r="H29" s="23" t="n">
        <f aca="false">H7/H26*100</f>
        <v>7.69689785583537</v>
      </c>
      <c r="I29" s="23" t="n">
        <f aca="false">I7/I26*100</f>
        <v>7.04663701095585</v>
      </c>
      <c r="J29" s="23" t="n">
        <f aca="false">J7/J26*100</f>
        <v>6.9281045751634</v>
      </c>
      <c r="K29" s="23" t="n">
        <f aca="false">K7/K26*100</f>
        <v>6.9287860499756</v>
      </c>
      <c r="L29" s="23" t="n">
        <f aca="false">L7/L26*100</f>
        <v>6.66139886712716</v>
      </c>
      <c r="M29" s="23" t="n">
        <f aca="false">M7/M26*100</f>
        <v>5.87134346565511</v>
      </c>
      <c r="N29" s="23" t="n">
        <f aca="false">N7/N26*100</f>
        <v>5.71362239016268</v>
      </c>
      <c r="O29" s="23" t="n">
        <f aca="false">O7/O26*100</f>
        <v>5.50498608534323</v>
      </c>
      <c r="P29" s="23" t="n">
        <f aca="false">P7/P26*100</f>
        <v>5.57309696808308</v>
      </c>
      <c r="Q29" s="23" t="n">
        <f aca="false">Q7/Q26*100</f>
        <v>5.5568127897215</v>
      </c>
      <c r="R29" s="23" t="n">
        <f aca="false">R7/R26*100</f>
        <v>5.53402888233357</v>
      </c>
      <c r="S29" s="23" t="n">
        <f aca="false">S7/S26*100</f>
        <v>5.41333063072194</v>
      </c>
      <c r="T29" s="23" t="n">
        <f aca="false">T7/T26*100</f>
        <v>5.369430713327</v>
      </c>
    </row>
    <row r="30" customFormat="false" ht="15" hidden="false" customHeight="false" outlineLevel="0" collapsed="false">
      <c r="A30" s="22" t="s">
        <v>579</v>
      </c>
      <c r="B30" s="23" t="n">
        <f aca="false">B11/B26*100</f>
        <v>16.1418796108201</v>
      </c>
      <c r="C30" s="23" t="n">
        <f aca="false">C11/C26*100</f>
        <v>17.1020874557565</v>
      </c>
      <c r="D30" s="23" t="n">
        <f aca="false">D11/D26*100</f>
        <v>16.4077868966014</v>
      </c>
      <c r="E30" s="23" t="n">
        <f aca="false">E11/E26*100</f>
        <v>17.614036343678</v>
      </c>
      <c r="F30" s="23" t="n">
        <f aca="false">F11/F26*100</f>
        <v>17.3378012425187</v>
      </c>
      <c r="G30" s="23" t="n">
        <f aca="false">G11/G26*100</f>
        <v>18.8652958925784</v>
      </c>
      <c r="H30" s="23" t="n">
        <f aca="false">H11/H26*100</f>
        <v>19.2611945714493</v>
      </c>
      <c r="I30" s="23" t="n">
        <f aca="false">I11/I26*100</f>
        <v>18.1298039893742</v>
      </c>
      <c r="J30" s="23" t="n">
        <f aca="false">J11/J26*100</f>
        <v>18.4772090654444</v>
      </c>
      <c r="K30" s="23" t="n">
        <f aca="false">K11/K26*100</f>
        <v>18.7703844474691</v>
      </c>
      <c r="L30" s="23" t="n">
        <f aca="false">L11/L26*100</f>
        <v>18.6835236251931</v>
      </c>
      <c r="M30" s="23" t="n">
        <f aca="false">M11/M26*100</f>
        <v>18.237343649474</v>
      </c>
      <c r="N30" s="23" t="n">
        <f aca="false">N11/N26*100</f>
        <v>18.1167541949533</v>
      </c>
      <c r="O30" s="23" t="n">
        <f aca="false">O11/O26*100</f>
        <v>17.6600185528757</v>
      </c>
      <c r="P30" s="23" t="n">
        <f aca="false">P11/P26*100</f>
        <v>17.5067523871115</v>
      </c>
      <c r="Q30" s="23" t="n">
        <f aca="false">Q11/Q26*100</f>
        <v>17.5106763514253</v>
      </c>
      <c r="R30" s="23" t="n">
        <f aca="false">R11/R26*100</f>
        <v>17.5872530952865</v>
      </c>
      <c r="S30" s="23" t="n">
        <f aca="false">S11/S26*100</f>
        <v>17.6480524306611</v>
      </c>
      <c r="T30" s="23" t="n">
        <f aca="false">T11/T26*100</f>
        <v>17.6861884964154</v>
      </c>
    </row>
    <row r="31" customFormat="false" ht="15" hidden="false" customHeight="false" outlineLevel="0" collapsed="false">
      <c r="A31" s="22" t="s">
        <v>580</v>
      </c>
      <c r="B31" s="23" t="n">
        <f aca="false">B15/B26*100</f>
        <v>23.0728108628248</v>
      </c>
      <c r="C31" s="23" t="n">
        <f aca="false">C15/C26*100</f>
        <v>22.8811906022686</v>
      </c>
      <c r="D31" s="23" t="n">
        <f aca="false">D15/D26*100</f>
        <v>23.007142975889</v>
      </c>
      <c r="E31" s="23" t="n">
        <f aca="false">E15/E26*100</f>
        <v>24.6047654842443</v>
      </c>
      <c r="F31" s="23" t="n">
        <f aca="false">F15/F26*100</f>
        <v>24.8446851603213</v>
      </c>
      <c r="G31" s="23" t="n">
        <f aca="false">G15/G26*100</f>
        <v>27.9174455155805</v>
      </c>
      <c r="H31" s="23" t="n">
        <f aca="false">H15/H26*100</f>
        <v>26.9814774495811</v>
      </c>
      <c r="I31" s="23" t="n">
        <f aca="false">I15/I26*100</f>
        <v>26.1847875634637</v>
      </c>
      <c r="J31" s="23" t="n">
        <f aca="false">J15/J26*100</f>
        <v>27.153043035396</v>
      </c>
      <c r="K31" s="23" t="n">
        <f aca="false">K15/K26*100</f>
        <v>26.9575489868769</v>
      </c>
      <c r="L31" s="23" t="n">
        <f aca="false">L15/L26*100</f>
        <v>27.9356144681002</v>
      </c>
      <c r="M31" s="23" t="n">
        <f aca="false">M15/M26*100</f>
        <v>26.4390097173366</v>
      </c>
      <c r="N31" s="23" t="n">
        <f aca="false">N15/N26*100</f>
        <v>28.3615665428462</v>
      </c>
      <c r="O31" s="23" t="n">
        <f aca="false">O15/O26*100</f>
        <v>27.723504174397</v>
      </c>
      <c r="P31" s="23" t="n">
        <f aca="false">P15/P26*100</f>
        <v>27.7703807965915</v>
      </c>
      <c r="Q31" s="23" t="n">
        <f aca="false">Q15/Q26*100</f>
        <v>27.7490236157244</v>
      </c>
      <c r="R31" s="23" t="n">
        <f aca="false">R15/R26*100</f>
        <v>27.6680423495449</v>
      </c>
      <c r="S31" s="23" t="n">
        <f aca="false">S15/S26*100</f>
        <v>27.5842032363771</v>
      </c>
      <c r="T31" s="23" t="n">
        <f aca="false">T15/T26*100</f>
        <v>27.6937178773693</v>
      </c>
    </row>
    <row r="32" customFormat="false" ht="15" hidden="false" customHeight="false" outlineLevel="0" collapsed="false">
      <c r="A32" s="22" t="s">
        <v>581</v>
      </c>
      <c r="B32" s="23" t="n">
        <f aca="false">B19/B26*100</f>
        <v>17.8557682027157</v>
      </c>
      <c r="C32" s="23" t="n">
        <f aca="false">C19/C26*100</f>
        <v>17.0218221342772</v>
      </c>
      <c r="D32" s="23" t="n">
        <f aca="false">D19/D26*100</f>
        <v>17.9815690164416</v>
      </c>
      <c r="E32" s="23" t="n">
        <f aca="false">E19/E26*100</f>
        <v>19.0696925224613</v>
      </c>
      <c r="F32" s="23" t="n">
        <f aca="false">F19/F26*100</f>
        <v>17.8304849464078</v>
      </c>
      <c r="G32" s="23" t="n">
        <f aca="false">G19/G26*100</f>
        <v>17.6422405645517</v>
      </c>
      <c r="H32" s="23" t="n">
        <f aca="false">H19/H26*100</f>
        <v>18.7813984243333</v>
      </c>
      <c r="I32" s="23" t="n">
        <f aca="false">I19/I26*100</f>
        <v>17.4444741350854</v>
      </c>
      <c r="J32" s="23" t="n">
        <f aca="false">J19/J26*100</f>
        <v>18.7547746371276</v>
      </c>
      <c r="K32" s="23" t="n">
        <f aca="false">K19/K26*100</f>
        <v>19.1795714664818</v>
      </c>
      <c r="L32" s="23" t="n">
        <f aca="false">L19/L26*100</f>
        <v>18.3940905943143</v>
      </c>
      <c r="M32" s="23" t="n">
        <f aca="false">M19/M26*100</f>
        <v>19.8432525922646</v>
      </c>
      <c r="N32" s="23" t="n">
        <f aca="false">N19/N26*100</f>
        <v>19.2671640835148</v>
      </c>
      <c r="O32" s="23" t="n">
        <f aca="false">O19/O26*100</f>
        <v>19.4870419758813</v>
      </c>
      <c r="P32" s="23" t="n">
        <f aca="false">P19/P26*100</f>
        <v>19.5533914102028</v>
      </c>
      <c r="Q32" s="23" t="n">
        <f aca="false">Q19/Q26*100</f>
        <v>19.5729459429865</v>
      </c>
      <c r="R32" s="23" t="n">
        <f aca="false">R19/R26*100</f>
        <v>19.5751031762159</v>
      </c>
      <c r="S32" s="23" t="n">
        <f aca="false">S19/S26*100</f>
        <v>19.5446099793926</v>
      </c>
      <c r="T32" s="23" t="n">
        <f aca="false">T19/T26*100</f>
        <v>19.3950306085704</v>
      </c>
    </row>
    <row r="33" customFormat="false" ht="15" hidden="false" customHeight="false" outlineLevel="0" collapsed="false">
      <c r="A33" s="22" t="s">
        <v>582</v>
      </c>
      <c r="B33" s="23" t="n">
        <f aca="false">B23/B26*100</f>
        <v>35.7532342563883</v>
      </c>
      <c r="C33" s="23" t="n">
        <f aca="false">C23/C26*100</f>
        <v>35.1818511189766</v>
      </c>
      <c r="D33" s="23" t="n">
        <f aca="false">D23/D26*100</f>
        <v>34.87700671074</v>
      </c>
      <c r="E33" s="23" t="n">
        <f aca="false">E23/E26*100</f>
        <v>30.5121046163391</v>
      </c>
      <c r="F33" s="23" t="n">
        <f aca="false">F23/F26*100</f>
        <v>32.1353799239924</v>
      </c>
      <c r="G33" s="23" t="n">
        <f aca="false">G23/G26*100</f>
        <v>27.0920406891675</v>
      </c>
      <c r="H33" s="23" t="n">
        <f aca="false">H23/H26*100</f>
        <v>27.2790316988009</v>
      </c>
      <c r="I33" s="23" t="n">
        <f aca="false">I23/I26*100</f>
        <v>31.1942973011207</v>
      </c>
      <c r="J33" s="23" t="n">
        <f aca="false">J23/J26*100</f>
        <v>28.6868686868687</v>
      </c>
      <c r="K33" s="23" t="n">
        <f aca="false">K23/K26*100</f>
        <v>28.1637090491966</v>
      </c>
      <c r="L33" s="23" t="n">
        <f aca="false">L23/L26*100</f>
        <v>28.3253724452652</v>
      </c>
      <c r="M33" s="23" t="n">
        <f aca="false">M23/M26*100</f>
        <v>29.6090505752697</v>
      </c>
      <c r="N33" s="23" t="n">
        <f aca="false">N23/N26*100</f>
        <v>28.5408927885231</v>
      </c>
      <c r="O33" s="23" t="n">
        <f aca="false">O23/O26*100</f>
        <v>29.6244492115028</v>
      </c>
      <c r="P33" s="23" t="n">
        <f aca="false">P23/P26*100</f>
        <v>29.5963784380112</v>
      </c>
      <c r="Q33" s="23" t="n">
        <f aca="false">Q23/Q26*100</f>
        <v>29.6105413001424</v>
      </c>
      <c r="R33" s="23" t="n">
        <f aca="false">R23/R26*100</f>
        <v>29.6355724966192</v>
      </c>
      <c r="S33" s="23" t="n">
        <f aca="false">S23/S26*100</f>
        <v>29.8098037228472</v>
      </c>
      <c r="T33" s="23" t="n">
        <f aca="false">T23/T26*100</f>
        <v>29.8556323043179</v>
      </c>
    </row>
  </sheetData>
  <mergeCells count="8">
    <mergeCell ref="A1:T1"/>
    <mergeCell ref="A2:T2"/>
    <mergeCell ref="A5:T5"/>
    <mergeCell ref="A9:T9"/>
    <mergeCell ref="A13:T13"/>
    <mergeCell ref="A17:T17"/>
    <mergeCell ref="A21:T21"/>
    <mergeCell ref="A28:T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6"/>
  </cols>
  <sheetData>
    <row r="1" customFormat="false" ht="24" hidden="false" customHeight="true" outlineLevel="0" collapsed="false">
      <c r="A1" s="1" t="s">
        <v>583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" t="s">
        <v>584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7" t="s">
        <v>234</v>
      </c>
      <c r="B4" s="7" t="s">
        <v>585</v>
      </c>
      <c r="C4" s="7" t="s">
        <v>586</v>
      </c>
      <c r="D4" s="7" t="s">
        <v>587</v>
      </c>
      <c r="E4" s="7" t="s">
        <v>588</v>
      </c>
      <c r="F4" s="7" t="s">
        <v>589</v>
      </c>
      <c r="G4" s="7" t="s">
        <v>307</v>
      </c>
      <c r="H4" s="7"/>
    </row>
    <row r="5" customFormat="false" ht="15" hidden="false" customHeight="false" outlineLevel="0" collapsed="false">
      <c r="A5" s="24" t="n">
        <v>2006</v>
      </c>
      <c r="B5" s="25" t="n">
        <v>0.369889</v>
      </c>
      <c r="C5" s="25" t="n">
        <v>0.063893</v>
      </c>
      <c r="D5" s="23" t="n">
        <f aca="false">C5/B5*100</f>
        <v>17.2735604465123</v>
      </c>
      <c r="E5" s="15" t="n">
        <v>23.1</v>
      </c>
      <c r="F5" s="26" t="n">
        <f aca="false">E5/C5</f>
        <v>361.541952952593</v>
      </c>
      <c r="G5" s="5" t="s">
        <v>590</v>
      </c>
    </row>
    <row r="6" customFormat="false" ht="15" hidden="false" customHeight="false" outlineLevel="0" collapsed="false">
      <c r="A6" s="24" t="n">
        <v>2007</v>
      </c>
      <c r="B6" s="25" t="n">
        <v>0.377718</v>
      </c>
      <c r="C6" s="25" t="n">
        <v>0.062514</v>
      </c>
      <c r="D6" s="23" t="n">
        <f aca="false">C6/B6*100</f>
        <v>16.5504423935317</v>
      </c>
      <c r="E6" s="15" t="n">
        <v>23.8</v>
      </c>
      <c r="F6" s="26" t="n">
        <f aca="false">E6/C6</f>
        <v>380.714719902742</v>
      </c>
      <c r="G6" s="5"/>
    </row>
    <row r="7" customFormat="false" ht="15" hidden="false" customHeight="false" outlineLevel="0" collapsed="false">
      <c r="A7" s="24" t="n">
        <v>2008</v>
      </c>
      <c r="B7" s="25" t="n">
        <v>0.372259</v>
      </c>
      <c r="C7" s="25" t="n">
        <v>0.058294</v>
      </c>
      <c r="D7" s="23" t="n">
        <f aca="false">C7/B7*100</f>
        <v>15.6595273720716</v>
      </c>
      <c r="E7" s="15" t="n">
        <v>22.2</v>
      </c>
      <c r="F7" s="26" t="n">
        <f aca="false">E7/C7</f>
        <v>380.828215596802</v>
      </c>
      <c r="G7" s="5"/>
    </row>
    <row r="8" customFormat="false" ht="15" hidden="false" customHeight="false" outlineLevel="0" collapsed="false">
      <c r="A8" s="24" t="n">
        <v>2009</v>
      </c>
      <c r="B8" s="25" t="n">
        <v>0.356804</v>
      </c>
      <c r="C8" s="25" t="n">
        <v>0.042713</v>
      </c>
      <c r="D8" s="23" t="n">
        <f aca="false">C8/B8*100</f>
        <v>11.9709980829811</v>
      </c>
      <c r="E8" s="15" t="n">
        <v>18.5</v>
      </c>
      <c r="F8" s="26" t="n">
        <f aca="false">E8/C8</f>
        <v>433.123405052326</v>
      </c>
      <c r="G8" s="5" t="s">
        <v>591</v>
      </c>
    </row>
    <row r="9" customFormat="false" ht="15" hidden="false" customHeight="false" outlineLevel="0" collapsed="false">
      <c r="A9" s="24" t="n">
        <v>2010</v>
      </c>
      <c r="B9" s="25" t="n">
        <v>0.356056</v>
      </c>
      <c r="C9" s="25" t="n">
        <v>0.040868</v>
      </c>
      <c r="D9" s="23" t="n">
        <f aca="false">C9/B9*100</f>
        <v>11.4779697575662</v>
      </c>
      <c r="E9" s="15" t="n">
        <v>19.8</v>
      </c>
      <c r="F9" s="26" t="n">
        <f aca="false">E9/C9</f>
        <v>484.486639913869</v>
      </c>
      <c r="G9" s="5"/>
    </row>
    <row r="10" customFormat="false" ht="15" hidden="false" customHeight="false" outlineLevel="0" collapsed="false">
      <c r="A10" s="24" t="n">
        <v>2011</v>
      </c>
      <c r="B10" s="27" t="s">
        <v>592</v>
      </c>
      <c r="C10" s="25" t="n">
        <v>0.041602</v>
      </c>
      <c r="D10" s="28" t="s">
        <v>396</v>
      </c>
      <c r="E10" s="15" t="n">
        <v>19.2</v>
      </c>
      <c r="F10" s="26" t="n">
        <f aca="false">E10/C10</f>
        <v>461.516273256093</v>
      </c>
      <c r="G10" s="5" t="s">
        <v>593</v>
      </c>
    </row>
    <row r="11" customFormat="false" ht="15" hidden="false" customHeight="false" outlineLevel="0" collapsed="false">
      <c r="A11" s="24" t="n">
        <v>2012</v>
      </c>
      <c r="B11" s="25" t="n">
        <v>0.345137</v>
      </c>
      <c r="C11" s="25" t="n">
        <v>0.041878</v>
      </c>
      <c r="D11" s="23" t="n">
        <f aca="false">C11/B11*100</f>
        <v>12.1337324019158</v>
      </c>
      <c r="E11" s="15" t="n">
        <v>20.2</v>
      </c>
      <c r="F11" s="26" t="n">
        <f aca="false">E11/C11</f>
        <v>482.353503032619</v>
      </c>
      <c r="G11" s="5"/>
    </row>
    <row r="12" customFormat="false" ht="15" hidden="false" customHeight="false" outlineLevel="0" collapsed="false">
      <c r="A12" s="24" t="n">
        <v>2013</v>
      </c>
      <c r="B12" s="25" t="n">
        <v>0.358628</v>
      </c>
      <c r="C12" s="25" t="n">
        <v>0.040722</v>
      </c>
      <c r="D12" s="23" t="n">
        <f aca="false">C12/B12*100</f>
        <v>11.3549416108056</v>
      </c>
      <c r="E12" s="15" t="n">
        <v>20.1</v>
      </c>
      <c r="F12" s="26" t="n">
        <f aca="false">E12/C12</f>
        <v>493.590688080153</v>
      </c>
      <c r="G12" s="5"/>
    </row>
    <row r="13" customFormat="false" ht="15" hidden="false" customHeight="false" outlineLevel="0" collapsed="false">
      <c r="A13" s="24" t="n">
        <v>2014</v>
      </c>
      <c r="B13" s="25" t="n">
        <v>0.358689</v>
      </c>
      <c r="C13" s="25" t="n">
        <v>0.041327</v>
      </c>
      <c r="D13" s="23" t="n">
        <f aca="false">C13/B13*100</f>
        <v>11.5216803414657</v>
      </c>
      <c r="E13" s="15" t="n">
        <v>20.2</v>
      </c>
      <c r="F13" s="26" t="n">
        <f aca="false">E13/C13</f>
        <v>488.784571829554</v>
      </c>
      <c r="G13" s="5" t="s">
        <v>594</v>
      </c>
    </row>
    <row r="14" customFormat="false" ht="15" hidden="false" customHeight="false" outlineLevel="0" collapsed="false">
      <c r="A14" s="24" t="n">
        <v>2015</v>
      </c>
      <c r="B14" s="25" t="n">
        <v>0.366434</v>
      </c>
      <c r="C14" s="25" t="n">
        <v>0.043012</v>
      </c>
      <c r="D14" s="23" t="n">
        <f aca="false">C14/B14*100</f>
        <v>11.7379937451219</v>
      </c>
      <c r="E14" s="15" t="n">
        <v>22</v>
      </c>
      <c r="F14" s="26" t="n">
        <f aca="false">E14/C14</f>
        <v>511.485166930159</v>
      </c>
      <c r="G14" s="5"/>
    </row>
    <row r="15" customFormat="false" ht="15" hidden="false" customHeight="false" outlineLevel="0" collapsed="false">
      <c r="A15" s="24" t="n">
        <v>2016</v>
      </c>
      <c r="B15" s="25" t="n">
        <v>0.375175</v>
      </c>
      <c r="C15" s="25" t="n">
        <v>0.044485</v>
      </c>
      <c r="D15" s="23" t="n">
        <f aca="false">C15/B15*100</f>
        <v>11.8571333377757</v>
      </c>
      <c r="E15" s="15" t="n">
        <v>22.2</v>
      </c>
      <c r="F15" s="26" t="n">
        <f aca="false">E15/C15</f>
        <v>499.044621782623</v>
      </c>
      <c r="G15" s="5"/>
    </row>
    <row r="16" customFormat="false" ht="15" hidden="false" customHeight="false" outlineLevel="0" collapsed="false">
      <c r="A16" s="24" t="n">
        <v>2017</v>
      </c>
      <c r="B16" s="25" t="n">
        <v>0.377637</v>
      </c>
      <c r="C16" s="25" t="n">
        <v>0.044995</v>
      </c>
      <c r="D16" s="23" t="n">
        <f aca="false">C16/B16*100</f>
        <v>11.9148812219142</v>
      </c>
      <c r="E16" s="15" t="n">
        <v>23.8</v>
      </c>
      <c r="F16" s="26" t="n">
        <f aca="false">E16/C16</f>
        <v>528.947660851206</v>
      </c>
      <c r="G16" s="5"/>
    </row>
    <row r="17" customFormat="false" ht="15" hidden="false" customHeight="false" outlineLevel="0" collapsed="false">
      <c r="A17" s="24" t="n">
        <v>2018</v>
      </c>
      <c r="B17" s="25" t="n">
        <v>0.388127</v>
      </c>
      <c r="C17" s="25" t="n">
        <v>0.045567</v>
      </c>
      <c r="D17" s="23" t="n">
        <f aca="false">C17/B17*100</f>
        <v>11.7402293579164</v>
      </c>
      <c r="E17" s="15" t="n">
        <v>22.9</v>
      </c>
      <c r="F17" s="26" t="n">
        <f aca="false">E17/C17</f>
        <v>502.556674786578</v>
      </c>
      <c r="G17" s="5"/>
    </row>
    <row r="18" customFormat="false" ht="15" hidden="false" customHeight="false" outlineLevel="0" collapsed="false">
      <c r="A18" s="24" t="n">
        <v>2019</v>
      </c>
      <c r="B18" s="25" t="n">
        <v>0.395793</v>
      </c>
      <c r="C18" s="25" t="n">
        <v>0.048429</v>
      </c>
      <c r="D18" s="23" t="n">
        <f aca="false">C18/B18*100</f>
        <v>12.2359415148828</v>
      </c>
      <c r="E18" s="15" t="n">
        <v>23.5</v>
      </c>
      <c r="F18" s="26" t="n">
        <f aca="false">E18/C18</f>
        <v>485.246443246815</v>
      </c>
      <c r="G18" s="5" t="s">
        <v>595</v>
      </c>
    </row>
    <row r="19" customFormat="false" ht="15" hidden="false" customHeight="false" outlineLevel="0" collapsed="false">
      <c r="A19" s="24" t="n">
        <v>2020</v>
      </c>
      <c r="B19" s="25" t="n">
        <v>0.319507</v>
      </c>
      <c r="C19" s="25" t="n">
        <v>0.047239</v>
      </c>
      <c r="D19" s="23" t="n">
        <f aca="false">C19/B19*100</f>
        <v>14.7849655876084</v>
      </c>
      <c r="E19" s="15" t="n">
        <v>21.6</v>
      </c>
      <c r="F19" s="26" t="n">
        <f aca="false">E19/C19</f>
        <v>457.249306716908</v>
      </c>
      <c r="G19" s="5" t="s">
        <v>596</v>
      </c>
    </row>
    <row r="20" customFormat="false" ht="15" hidden="false" customHeight="false" outlineLevel="0" collapsed="false">
      <c r="A20" s="24" t="n">
        <v>2021</v>
      </c>
      <c r="B20" s="25" t="n">
        <v>0.367732</v>
      </c>
      <c r="C20" s="25" t="n">
        <v>0.051932</v>
      </c>
      <c r="D20" s="23" t="n">
        <f aca="false">C20/B20*100</f>
        <v>14.1222411973938</v>
      </c>
      <c r="E20" s="15" t="n">
        <v>24.3</v>
      </c>
      <c r="F20" s="26" t="n">
        <f aca="false">E20/C20</f>
        <v>467.91958715243</v>
      </c>
      <c r="G20" s="5" t="s">
        <v>597</v>
      </c>
    </row>
    <row r="21" customFormat="false" ht="15" hidden="false" customHeight="false" outlineLevel="0" collapsed="false">
      <c r="A21" s="24" t="n">
        <v>2022</v>
      </c>
      <c r="B21" s="25" t="n">
        <v>0.394627</v>
      </c>
      <c r="C21" s="25" t="n">
        <v>0.053129</v>
      </c>
      <c r="D21" s="23" t="n">
        <f aca="false">C21/B21*100</f>
        <v>13.4630929966779</v>
      </c>
      <c r="E21" s="15" t="n">
        <v>24.8</v>
      </c>
      <c r="F21" s="26" t="n">
        <f aca="false">E21/C21</f>
        <v>466.788382992339</v>
      </c>
      <c r="G21" s="5" t="s">
        <v>598</v>
      </c>
    </row>
    <row r="22" customFormat="false" ht="15" hidden="false" customHeight="false" outlineLevel="0" collapsed="false">
      <c r="A22" s="24" t="n">
        <v>2023</v>
      </c>
      <c r="B22" s="25" t="n">
        <v>0.399696</v>
      </c>
      <c r="C22" s="25" t="n">
        <v>0.051507</v>
      </c>
      <c r="D22" s="23" t="n">
        <f aca="false">C22/B22*100</f>
        <v>12.8865437732677</v>
      </c>
      <c r="E22" s="15" t="n">
        <v>22.7</v>
      </c>
      <c r="F22" s="26" t="n">
        <f aca="false">E22/C22</f>
        <v>440.716795775332</v>
      </c>
      <c r="G22" s="5" t="s">
        <v>599</v>
      </c>
    </row>
    <row r="23" customFormat="false" ht="15" hidden="false" customHeight="false" outlineLevel="0" collapsed="false">
      <c r="A23" s="24" t="n">
        <v>2024</v>
      </c>
      <c r="B23" s="25" t="n">
        <v>0.400015</v>
      </c>
      <c r="C23" s="25" t="n">
        <v>0.050936</v>
      </c>
      <c r="D23" s="23" t="n">
        <f aca="false">C23/B23*100</f>
        <v>12.7335224929065</v>
      </c>
      <c r="E23" s="15" t="n">
        <v>22.9</v>
      </c>
      <c r="F23" s="26" t="n">
        <f aca="false">E23/C23</f>
        <v>449.583791424533</v>
      </c>
      <c r="G23" s="5" t="s">
        <v>600</v>
      </c>
    </row>
    <row r="25" customFormat="false" ht="30" hidden="false" customHeight="true" outlineLevel="0" collapsed="false">
      <c r="A25" s="14" t="s">
        <v>601</v>
      </c>
      <c r="B25" s="14"/>
      <c r="C25" s="14"/>
      <c r="D25" s="14"/>
      <c r="E25" s="14"/>
      <c r="F25" s="14"/>
      <c r="G25" s="14"/>
      <c r="H25" s="14"/>
    </row>
  </sheetData>
  <mergeCells count="3">
    <mergeCell ref="A1:H1"/>
    <mergeCell ref="A2:H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5"/>
    <col collapsed="false" customWidth="true" hidden="false" outlineLevel="0" max="8" min="7" style="0" width="8"/>
  </cols>
  <sheetData>
    <row r="1" customFormat="false" ht="24" hidden="false" customHeight="true" outlineLevel="0" collapsed="false">
      <c r="A1" s="1" t="s">
        <v>602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6" t="s">
        <v>603</v>
      </c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7" t="s">
        <v>604</v>
      </c>
      <c r="B4" s="7" t="s">
        <v>403</v>
      </c>
      <c r="C4" s="7" t="s">
        <v>73</v>
      </c>
      <c r="D4" s="7" t="s">
        <v>605</v>
      </c>
      <c r="E4" s="7" t="s">
        <v>76</v>
      </c>
      <c r="F4" s="7" t="s">
        <v>307</v>
      </c>
      <c r="G4" s="7"/>
      <c r="H4" s="7"/>
    </row>
    <row r="5" customFormat="false" ht="15" hidden="false" customHeight="false" outlineLevel="0" collapsed="false">
      <c r="A5" s="5" t="s">
        <v>606</v>
      </c>
      <c r="B5" s="11" t="n">
        <v>488</v>
      </c>
      <c r="C5" s="5" t="s">
        <v>607</v>
      </c>
      <c r="D5" s="5" t="s">
        <v>608</v>
      </c>
      <c r="E5" s="5" t="s">
        <v>498</v>
      </c>
      <c r="F5" s="5" t="s">
        <v>609</v>
      </c>
      <c r="G5" s="5"/>
      <c r="H5" s="5"/>
    </row>
    <row r="6" customFormat="false" ht="15" hidden="false" customHeight="false" outlineLevel="0" collapsed="false">
      <c r="A6" s="5" t="s">
        <v>610</v>
      </c>
      <c r="B6" s="11" t="n">
        <v>38.6</v>
      </c>
      <c r="C6" s="5" t="s">
        <v>611</v>
      </c>
      <c r="D6" s="5"/>
      <c r="E6" s="5" t="s">
        <v>199</v>
      </c>
      <c r="F6" s="5" t="s">
        <v>612</v>
      </c>
      <c r="G6" s="5"/>
      <c r="H6" s="5"/>
    </row>
    <row r="7" customFormat="false" ht="15" hidden="false" customHeight="false" outlineLevel="0" collapsed="false">
      <c r="A7" s="5" t="s">
        <v>613</v>
      </c>
      <c r="B7" s="11" t="n">
        <v>188</v>
      </c>
      <c r="C7" s="5" t="s">
        <v>607</v>
      </c>
      <c r="D7" s="5"/>
      <c r="E7" s="5" t="s">
        <v>614</v>
      </c>
      <c r="F7" s="5"/>
      <c r="G7" s="5"/>
      <c r="H7" s="5"/>
    </row>
    <row r="8" customFormat="false" ht="15" hidden="false" customHeight="false" outlineLevel="0" collapsed="false">
      <c r="A8" s="5" t="s">
        <v>615</v>
      </c>
      <c r="B8" s="11" t="n">
        <v>446371</v>
      </c>
      <c r="C8" s="5" t="s">
        <v>616</v>
      </c>
      <c r="D8" s="5" t="s">
        <v>617</v>
      </c>
      <c r="E8" s="5" t="s">
        <v>199</v>
      </c>
      <c r="F8" s="5" t="s">
        <v>618</v>
      </c>
      <c r="G8" s="5"/>
      <c r="H8" s="5"/>
    </row>
    <row r="9" customFormat="false" ht="15" hidden="false" customHeight="false" outlineLevel="0" collapsed="false">
      <c r="A9" s="5" t="s">
        <v>619</v>
      </c>
      <c r="B9" s="11" t="n">
        <v>6384</v>
      </c>
      <c r="C9" s="5" t="s">
        <v>458</v>
      </c>
      <c r="D9" s="5" t="s">
        <v>620</v>
      </c>
      <c r="E9" s="5" t="s">
        <v>199</v>
      </c>
      <c r="F9" s="5" t="s">
        <v>621</v>
      </c>
      <c r="G9" s="5"/>
      <c r="H9" s="5"/>
    </row>
    <row r="10" customFormat="false" ht="15" hidden="false" customHeight="false" outlineLevel="0" collapsed="false">
      <c r="A10" s="5" t="s">
        <v>622</v>
      </c>
      <c r="B10" s="11" t="n">
        <v>2</v>
      </c>
      <c r="C10" s="5" t="s">
        <v>623</v>
      </c>
      <c r="D10" s="5"/>
      <c r="E10" s="5" t="s">
        <v>199</v>
      </c>
      <c r="F10" s="5" t="s">
        <v>624</v>
      </c>
      <c r="G10" s="5"/>
      <c r="H10" s="5"/>
    </row>
    <row r="11" customFormat="false" ht="15" hidden="false" customHeight="false" outlineLevel="0" collapsed="false">
      <c r="A11" s="5" t="s">
        <v>625</v>
      </c>
      <c r="B11" s="11" t="n">
        <v>40.5</v>
      </c>
      <c r="C11" s="5" t="s">
        <v>626</v>
      </c>
      <c r="D11" s="5"/>
      <c r="E11" s="5" t="s">
        <v>224</v>
      </c>
      <c r="F11" s="5"/>
      <c r="G11" s="5"/>
      <c r="H11" s="5"/>
    </row>
    <row r="12" customFormat="false" ht="15" hidden="false" customHeight="false" outlineLevel="0" collapsed="false">
      <c r="A12" s="5" t="s">
        <v>627</v>
      </c>
      <c r="B12" s="11" t="n">
        <v>22</v>
      </c>
      <c r="C12" s="5" t="s">
        <v>626</v>
      </c>
      <c r="D12" s="5"/>
      <c r="E12" s="5" t="s">
        <v>224</v>
      </c>
      <c r="F12" s="5"/>
      <c r="G12" s="5"/>
      <c r="H12" s="5"/>
    </row>
    <row r="13" customFormat="false" ht="15" hidden="false" customHeight="false" outlineLevel="0" collapsed="false">
      <c r="A13" s="5" t="s">
        <v>628</v>
      </c>
      <c r="B13" s="11" t="n">
        <v>20.4</v>
      </c>
      <c r="C13" s="5" t="s">
        <v>626</v>
      </c>
      <c r="D13" s="5"/>
      <c r="E13" s="5" t="s">
        <v>224</v>
      </c>
      <c r="F13" s="5"/>
      <c r="G13" s="5"/>
      <c r="H13" s="5"/>
    </row>
    <row r="16" customFormat="false" ht="15" hidden="false" customHeight="false" outlineLevel="0" collapsed="false">
      <c r="A16" s="6" t="s">
        <v>629</v>
      </c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7" t="s">
        <v>630</v>
      </c>
      <c r="B17" s="7" t="s">
        <v>631</v>
      </c>
      <c r="C17" s="7" t="s">
        <v>632</v>
      </c>
      <c r="D17" s="7" t="s">
        <v>633</v>
      </c>
      <c r="E17" s="7" t="s">
        <v>307</v>
      </c>
      <c r="F17" s="7"/>
      <c r="G17" s="7"/>
      <c r="H17" s="7"/>
    </row>
    <row r="18" customFormat="false" ht="23.85" hidden="false" customHeight="false" outlineLevel="0" collapsed="false">
      <c r="A18" s="5" t="s">
        <v>634</v>
      </c>
      <c r="B18" s="11" t="n">
        <v>53</v>
      </c>
      <c r="C18" s="5" t="s">
        <v>635</v>
      </c>
      <c r="D18" s="5" t="s">
        <v>636</v>
      </c>
      <c r="E18" s="5" t="s">
        <v>637</v>
      </c>
      <c r="F18" s="5"/>
      <c r="G18" s="5"/>
      <c r="H18" s="5"/>
    </row>
    <row r="19" customFormat="false" ht="23.85" hidden="false" customHeight="false" outlineLevel="0" collapsed="false">
      <c r="A19" s="5" t="s">
        <v>638</v>
      </c>
      <c r="B19" s="11" t="n">
        <v>47</v>
      </c>
      <c r="C19" s="5" t="s">
        <v>639</v>
      </c>
      <c r="D19" s="5" t="s">
        <v>640</v>
      </c>
      <c r="E19" s="5" t="s">
        <v>641</v>
      </c>
      <c r="F19" s="5"/>
      <c r="G19" s="5"/>
      <c r="H19" s="5"/>
    </row>
    <row r="20" customFormat="false" ht="23.85" hidden="false" customHeight="false" outlineLevel="0" collapsed="false">
      <c r="A20" s="5" t="s">
        <v>642</v>
      </c>
      <c r="B20" s="11" t="n">
        <v>38</v>
      </c>
      <c r="C20" s="5" t="s">
        <v>643</v>
      </c>
      <c r="D20" s="5" t="s">
        <v>396</v>
      </c>
      <c r="E20" s="5" t="s">
        <v>644</v>
      </c>
      <c r="F20" s="5"/>
      <c r="G20" s="5"/>
      <c r="H20" s="5"/>
    </row>
    <row r="21" customFormat="false" ht="23.85" hidden="false" customHeight="false" outlineLevel="0" collapsed="false">
      <c r="A21" s="5" t="s">
        <v>645</v>
      </c>
      <c r="B21" s="11" t="n">
        <v>24</v>
      </c>
      <c r="C21" s="5" t="s">
        <v>646</v>
      </c>
      <c r="D21" s="5" t="s">
        <v>396</v>
      </c>
      <c r="E21" s="5" t="s">
        <v>647</v>
      </c>
      <c r="F21" s="5"/>
      <c r="G21" s="5"/>
      <c r="H21" s="5"/>
    </row>
    <row r="22" customFormat="false" ht="23.85" hidden="false" customHeight="false" outlineLevel="0" collapsed="false">
      <c r="A22" s="5" t="s">
        <v>648</v>
      </c>
      <c r="B22" s="11" t="n">
        <v>20</v>
      </c>
      <c r="C22" s="5" t="s">
        <v>649</v>
      </c>
      <c r="D22" s="5" t="s">
        <v>396</v>
      </c>
      <c r="E22" s="5"/>
      <c r="F22" s="5"/>
      <c r="G22" s="5"/>
      <c r="H22" s="5"/>
    </row>
    <row r="23" customFormat="false" ht="23.85" hidden="false" customHeight="false" outlineLevel="0" collapsed="false">
      <c r="A23" s="5" t="s">
        <v>650</v>
      </c>
      <c r="B23" s="11" t="n">
        <v>18</v>
      </c>
      <c r="C23" s="5" t="s">
        <v>651</v>
      </c>
      <c r="D23" s="5" t="s">
        <v>396</v>
      </c>
      <c r="E23" s="5"/>
      <c r="F23" s="5"/>
      <c r="G23" s="5"/>
      <c r="H23" s="5"/>
    </row>
    <row r="26" customFormat="false" ht="15" hidden="false" customHeight="false" outlineLevel="0" collapsed="false">
      <c r="A26" s="6" t="s">
        <v>652</v>
      </c>
      <c r="B26" s="6"/>
      <c r="C26" s="6"/>
      <c r="D26" s="6"/>
      <c r="E26" s="6"/>
      <c r="F26" s="6"/>
      <c r="G26" s="6"/>
      <c r="H26" s="6"/>
    </row>
    <row r="27" customFormat="false" ht="23.85" hidden="false" customHeight="false" outlineLevel="0" collapsed="false">
      <c r="A27" s="7" t="s">
        <v>653</v>
      </c>
      <c r="B27" s="7" t="s">
        <v>654</v>
      </c>
      <c r="C27" s="7" t="s">
        <v>655</v>
      </c>
      <c r="D27" s="7" t="s">
        <v>656</v>
      </c>
      <c r="E27" s="7" t="s">
        <v>657</v>
      </c>
      <c r="F27" s="7" t="s">
        <v>307</v>
      </c>
      <c r="G27" s="7"/>
      <c r="H27" s="7"/>
    </row>
    <row r="28" customFormat="false" ht="15" hidden="false" customHeight="false" outlineLevel="0" collapsed="false">
      <c r="A28" s="5" t="s">
        <v>658</v>
      </c>
      <c r="B28" s="5" t="s">
        <v>659</v>
      </c>
      <c r="C28" s="5" t="s">
        <v>454</v>
      </c>
      <c r="D28" s="5" t="s">
        <v>660</v>
      </c>
      <c r="E28" s="5" t="s">
        <v>661</v>
      </c>
      <c r="F28" s="5" t="s">
        <v>662</v>
      </c>
      <c r="G28" s="5"/>
      <c r="H28" s="5"/>
    </row>
    <row r="29" customFormat="false" ht="15" hidden="false" customHeight="false" outlineLevel="0" collapsed="false">
      <c r="A29" s="5" t="s">
        <v>663</v>
      </c>
      <c r="B29" s="5" t="s">
        <v>664</v>
      </c>
      <c r="C29" s="5" t="s">
        <v>665</v>
      </c>
      <c r="D29" s="5" t="s">
        <v>666</v>
      </c>
      <c r="E29" s="5" t="s">
        <v>667</v>
      </c>
      <c r="F29" s="5"/>
      <c r="G29" s="5"/>
      <c r="H29" s="5"/>
    </row>
    <row r="30" customFormat="false" ht="15" hidden="false" customHeight="false" outlineLevel="0" collapsed="false">
      <c r="A30" s="5" t="s">
        <v>668</v>
      </c>
      <c r="B30" s="5" t="s">
        <v>669</v>
      </c>
      <c r="C30" s="5" t="s">
        <v>670</v>
      </c>
      <c r="D30" s="5" t="s">
        <v>671</v>
      </c>
      <c r="E30" s="5" t="s">
        <v>667</v>
      </c>
      <c r="F30" s="5"/>
      <c r="G30" s="5"/>
      <c r="H30" s="5"/>
    </row>
    <row r="31" customFormat="false" ht="15" hidden="false" customHeight="false" outlineLevel="0" collapsed="false">
      <c r="A31" s="5" t="s">
        <v>672</v>
      </c>
      <c r="B31" s="5" t="s">
        <v>673</v>
      </c>
      <c r="C31" s="5" t="s">
        <v>674</v>
      </c>
      <c r="D31" s="5" t="s">
        <v>675</v>
      </c>
      <c r="E31" s="5" t="s">
        <v>676</v>
      </c>
      <c r="F31" s="5"/>
      <c r="G31" s="5"/>
      <c r="H31" s="5"/>
    </row>
    <row r="32" customFormat="false" ht="15" hidden="false" customHeight="false" outlineLevel="0" collapsed="false">
      <c r="A32" s="5" t="s">
        <v>677</v>
      </c>
      <c r="B32" s="5" t="s">
        <v>678</v>
      </c>
      <c r="C32" s="5" t="s">
        <v>679</v>
      </c>
      <c r="D32" s="5" t="s">
        <v>680</v>
      </c>
      <c r="E32" s="5" t="s">
        <v>681</v>
      </c>
      <c r="F32" s="5"/>
      <c r="G32" s="5"/>
      <c r="H32" s="5"/>
    </row>
    <row r="33" customFormat="false" ht="15" hidden="false" customHeight="false" outlineLevel="0" collapsed="false">
      <c r="A33" s="29" t="s">
        <v>682</v>
      </c>
      <c r="B33" s="29" t="s">
        <v>396</v>
      </c>
      <c r="C33" s="29" t="s">
        <v>683</v>
      </c>
      <c r="D33" s="29" t="s">
        <v>684</v>
      </c>
      <c r="E33" s="29" t="s">
        <v>396</v>
      </c>
      <c r="F33" s="29" t="s">
        <v>685</v>
      </c>
      <c r="G33" s="29"/>
      <c r="H33" s="29"/>
    </row>
    <row r="36" customFormat="false" ht="15" hidden="false" customHeight="false" outlineLevel="0" collapsed="false">
      <c r="A36" s="6" t="s">
        <v>686</v>
      </c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7" t="s">
        <v>687</v>
      </c>
      <c r="B37" s="7" t="s">
        <v>403</v>
      </c>
      <c r="C37" s="7" t="s">
        <v>73</v>
      </c>
      <c r="D37" s="7" t="s">
        <v>76</v>
      </c>
      <c r="E37" s="7" t="s">
        <v>234</v>
      </c>
      <c r="F37" s="7" t="s">
        <v>688</v>
      </c>
      <c r="G37" s="7"/>
      <c r="H37" s="7"/>
    </row>
    <row r="38" customFormat="false" ht="15" hidden="false" customHeight="false" outlineLevel="0" collapsed="false">
      <c r="A38" s="5" t="s">
        <v>689</v>
      </c>
      <c r="B38" s="11" t="n">
        <v>8.7</v>
      </c>
      <c r="C38" s="5" t="s">
        <v>690</v>
      </c>
      <c r="D38" s="5" t="s">
        <v>82</v>
      </c>
      <c r="E38" s="11" t="n">
        <v>2022</v>
      </c>
      <c r="F38" s="30" t="s">
        <v>691</v>
      </c>
      <c r="G38" s="11"/>
      <c r="H38" s="11"/>
    </row>
    <row r="39" customFormat="false" ht="15" hidden="false" customHeight="false" outlineLevel="0" collapsed="false">
      <c r="A39" s="5" t="s">
        <v>692</v>
      </c>
      <c r="B39" s="11" t="n">
        <v>22.2</v>
      </c>
      <c r="C39" s="5" t="s">
        <v>693</v>
      </c>
      <c r="D39" s="5" t="s">
        <v>88</v>
      </c>
      <c r="E39" s="11" t="n">
        <v>2022</v>
      </c>
      <c r="F39" s="5" t="s">
        <v>694</v>
      </c>
      <c r="G39" s="11"/>
      <c r="H39" s="11"/>
    </row>
    <row r="40" customFormat="false" ht="23.85" hidden="false" customHeight="false" outlineLevel="0" collapsed="false">
      <c r="A40" s="5" t="s">
        <v>695</v>
      </c>
      <c r="B40" s="11" t="n">
        <v>102.5</v>
      </c>
      <c r="C40" s="5" t="s">
        <v>690</v>
      </c>
      <c r="D40" s="5" t="s">
        <v>82</v>
      </c>
      <c r="E40" s="11" t="n">
        <v>2022</v>
      </c>
      <c r="F40" s="5" t="s">
        <v>696</v>
      </c>
      <c r="G40" s="11"/>
      <c r="H40" s="11"/>
    </row>
    <row r="41" customFormat="false" ht="15" hidden="false" customHeight="false" outlineLevel="0" collapsed="false">
      <c r="A41" s="5" t="s">
        <v>697</v>
      </c>
      <c r="B41" s="11" t="n">
        <v>22.599</v>
      </c>
      <c r="C41" s="5" t="s">
        <v>698</v>
      </c>
      <c r="D41" s="5" t="s">
        <v>88</v>
      </c>
      <c r="E41" s="11" t="n">
        <v>2022</v>
      </c>
      <c r="F41" s="5" t="s">
        <v>699</v>
      </c>
      <c r="G41" s="11"/>
      <c r="H41" s="11"/>
    </row>
    <row r="42" customFormat="false" ht="15" hidden="false" customHeight="false" outlineLevel="0" collapsed="false">
      <c r="A42" s="5" t="s">
        <v>700</v>
      </c>
      <c r="B42" s="11" t="n">
        <v>0.363</v>
      </c>
      <c r="C42" s="5" t="s">
        <v>698</v>
      </c>
      <c r="D42" s="5" t="s">
        <v>88</v>
      </c>
      <c r="E42" s="11" t="n">
        <v>2022</v>
      </c>
      <c r="F42" s="5" t="s">
        <v>701</v>
      </c>
      <c r="G42" s="11"/>
      <c r="H42" s="11"/>
    </row>
    <row r="43" customFormat="false" ht="23.85" hidden="false" customHeight="false" outlineLevel="0" collapsed="false">
      <c r="A43" s="5" t="s">
        <v>702</v>
      </c>
      <c r="B43" s="11" t="n">
        <v>22.962</v>
      </c>
      <c r="C43" s="5" t="s">
        <v>703</v>
      </c>
      <c r="D43" s="5" t="s">
        <v>88</v>
      </c>
      <c r="E43" s="11" t="n">
        <v>2022</v>
      </c>
      <c r="F43" s="5"/>
      <c r="G43" s="11"/>
      <c r="H43" s="11"/>
    </row>
    <row r="44" customFormat="false" ht="15" hidden="false" customHeight="false" outlineLevel="0" collapsed="false">
      <c r="A44" s="5" t="s">
        <v>704</v>
      </c>
      <c r="B44" s="11" t="n">
        <v>0.002639</v>
      </c>
      <c r="C44" s="5" t="s">
        <v>705</v>
      </c>
      <c r="D44" s="5" t="s">
        <v>706</v>
      </c>
      <c r="E44" s="11" t="n">
        <v>2022</v>
      </c>
      <c r="F44" s="30" t="s">
        <v>707</v>
      </c>
      <c r="G44" s="11"/>
      <c r="H44" s="11"/>
    </row>
    <row r="45" customFormat="false" ht="23.85" hidden="false" customHeight="false" outlineLevel="0" collapsed="false">
      <c r="A45" s="5" t="s">
        <v>708</v>
      </c>
      <c r="B45" s="11" t="n">
        <v>0.001034</v>
      </c>
      <c r="C45" s="5" t="s">
        <v>705</v>
      </c>
      <c r="D45" s="5" t="s">
        <v>709</v>
      </c>
      <c r="E45" s="11" t="n">
        <v>2022</v>
      </c>
      <c r="F45" s="5" t="s">
        <v>710</v>
      </c>
      <c r="G45" s="11"/>
      <c r="H45" s="11"/>
    </row>
    <row r="46" customFormat="false" ht="15" hidden="false" customHeight="false" outlineLevel="0" collapsed="false">
      <c r="A46" s="5" t="s">
        <v>711</v>
      </c>
      <c r="B46" s="11" t="n">
        <v>379</v>
      </c>
      <c r="C46" s="5" t="s">
        <v>712</v>
      </c>
      <c r="D46" s="5" t="s">
        <v>522</v>
      </c>
      <c r="E46" s="11" t="n">
        <v>2022</v>
      </c>
      <c r="F46" s="5" t="s">
        <v>713</v>
      </c>
      <c r="G46" s="11"/>
      <c r="H46" s="11"/>
    </row>
    <row r="47" customFormat="false" ht="15" hidden="false" customHeight="false" outlineLevel="0" collapsed="false">
      <c r="A47" s="5" t="s">
        <v>714</v>
      </c>
      <c r="B47" s="11" t="n">
        <v>46.3</v>
      </c>
      <c r="C47" s="5" t="s">
        <v>715</v>
      </c>
      <c r="D47" s="5" t="s">
        <v>716</v>
      </c>
      <c r="E47" s="11" t="n">
        <v>2022</v>
      </c>
      <c r="F47" s="5" t="s">
        <v>717</v>
      </c>
      <c r="G47" s="11"/>
      <c r="H47" s="11"/>
    </row>
    <row r="49" customFormat="false" ht="30" hidden="false" customHeight="true" outlineLevel="0" collapsed="false">
      <c r="A49" s="14" t="s">
        <v>718</v>
      </c>
      <c r="B49" s="14"/>
      <c r="C49" s="14"/>
      <c r="D49" s="14"/>
      <c r="E49" s="14"/>
      <c r="F49" s="14"/>
      <c r="G49" s="14"/>
      <c r="H49" s="14"/>
    </row>
  </sheetData>
  <mergeCells count="6">
    <mergeCell ref="A1:H1"/>
    <mergeCell ref="A3:H3"/>
    <mergeCell ref="A16:H16"/>
    <mergeCell ref="A26:H26"/>
    <mergeCell ref="A36:H36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1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719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3" t="s">
        <v>720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A4" s="6" t="s">
        <v>721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7" t="s">
        <v>467</v>
      </c>
      <c r="B5" s="7" t="s">
        <v>556</v>
      </c>
      <c r="C5" s="7" t="s">
        <v>722</v>
      </c>
      <c r="D5" s="7" t="s">
        <v>723</v>
      </c>
      <c r="E5" s="7" t="s">
        <v>724</v>
      </c>
      <c r="F5" s="7" t="s">
        <v>725</v>
      </c>
      <c r="G5" s="7" t="s">
        <v>726</v>
      </c>
      <c r="H5" s="7" t="s">
        <v>727</v>
      </c>
      <c r="I5" s="7" t="s">
        <v>728</v>
      </c>
      <c r="J5" s="7" t="s">
        <v>729</v>
      </c>
      <c r="K5" s="7" t="s">
        <v>730</v>
      </c>
      <c r="L5" s="7" t="s">
        <v>468</v>
      </c>
    </row>
    <row r="6" customFormat="false" ht="15" hidden="false" customHeight="false" outlineLevel="0" collapsed="false">
      <c r="A6" s="5" t="s">
        <v>473</v>
      </c>
      <c r="B6" s="31" t="n">
        <v>22.5991</v>
      </c>
      <c r="C6" s="31" t="n">
        <v>24.407</v>
      </c>
      <c r="D6" s="31" t="n">
        <v>21.4692</v>
      </c>
      <c r="E6" s="31" t="n">
        <v>13.5595</v>
      </c>
      <c r="F6" s="31" t="n">
        <v>6.1018</v>
      </c>
      <c r="G6" s="31" t="n">
        <v>1.537386</v>
      </c>
      <c r="H6" s="31" t="n">
        <v>1.429769</v>
      </c>
      <c r="I6" s="31" t="n">
        <v>1.414395</v>
      </c>
      <c r="J6" s="32" t="n">
        <v>0.491964</v>
      </c>
      <c r="K6" s="32" t="n">
        <v>0.691824</v>
      </c>
      <c r="L6" s="32" t="n">
        <v>13.663</v>
      </c>
    </row>
    <row r="7" customFormat="false" ht="15" hidden="false" customHeight="false" outlineLevel="0" collapsed="false">
      <c r="A7" s="5" t="s">
        <v>476</v>
      </c>
      <c r="B7" s="31" t="n">
        <v>18.0793</v>
      </c>
      <c r="C7" s="31" t="n">
        <v>19.5256</v>
      </c>
      <c r="D7" s="31" t="n">
        <v>17.1753</v>
      </c>
      <c r="E7" s="31" t="n">
        <v>10.8476</v>
      </c>
      <c r="F7" s="31" t="n">
        <v>4.8814</v>
      </c>
      <c r="G7" s="31" t="n">
        <v>1.15304</v>
      </c>
      <c r="H7" s="31" t="n">
        <v>1.072327</v>
      </c>
      <c r="I7" s="31" t="n">
        <v>1.060796</v>
      </c>
      <c r="J7" s="32" t="n">
        <v>0.368973</v>
      </c>
      <c r="K7" s="32" t="n">
        <v>0.518868</v>
      </c>
      <c r="L7" s="32" t="n">
        <v>15.287</v>
      </c>
    </row>
    <row r="8" customFormat="false" ht="15" hidden="false" customHeight="false" outlineLevel="0" collapsed="false">
      <c r="A8" s="5" t="s">
        <v>478</v>
      </c>
      <c r="B8" s="31" t="n">
        <v>15.0661</v>
      </c>
      <c r="C8" s="31" t="n">
        <v>16.2714</v>
      </c>
      <c r="D8" s="31" t="n">
        <v>14.3128</v>
      </c>
      <c r="E8" s="31" t="n">
        <v>9.0396</v>
      </c>
      <c r="F8" s="31" t="n">
        <v>4.0678</v>
      </c>
      <c r="G8" s="31" t="n">
        <v>0.960866</v>
      </c>
      <c r="H8" s="31" t="n">
        <v>0.893606</v>
      </c>
      <c r="I8" s="31" t="n">
        <v>0.883997</v>
      </c>
      <c r="J8" s="32" t="n">
        <v>0.307477</v>
      </c>
      <c r="K8" s="32" t="n">
        <v>0.43239</v>
      </c>
      <c r="L8" s="32" t="n">
        <v>16.908</v>
      </c>
    </row>
    <row r="9" customFormat="false" ht="15" hidden="false" customHeight="false" outlineLevel="0" collapsed="false">
      <c r="A9" s="5" t="s">
        <v>480</v>
      </c>
      <c r="B9" s="31" t="n">
        <v>12.8062</v>
      </c>
      <c r="C9" s="31" t="n">
        <v>13.8307</v>
      </c>
      <c r="D9" s="31" t="n">
        <v>12.1659</v>
      </c>
      <c r="E9" s="31" t="n">
        <v>7.6837</v>
      </c>
      <c r="F9" s="31" t="n">
        <v>3.4577</v>
      </c>
      <c r="G9" s="31" t="n">
        <v>0.816736</v>
      </c>
      <c r="H9" s="31" t="n">
        <v>0.759565</v>
      </c>
      <c r="I9" s="31" t="n">
        <v>0.751397</v>
      </c>
      <c r="J9" s="32" t="n">
        <v>0.261356</v>
      </c>
      <c r="K9" s="32" t="n">
        <v>0.367531</v>
      </c>
      <c r="L9" s="32" t="n">
        <v>17.258</v>
      </c>
    </row>
    <row r="10" customFormat="false" ht="15" hidden="false" customHeight="false" outlineLevel="0" collapsed="false">
      <c r="A10" s="5" t="s">
        <v>482</v>
      </c>
      <c r="B10" s="31" t="n">
        <v>11.2996</v>
      </c>
      <c r="C10" s="31" t="n">
        <v>12.2035</v>
      </c>
      <c r="D10" s="31" t="n">
        <v>10.7346</v>
      </c>
      <c r="E10" s="31" t="n">
        <v>6.7797</v>
      </c>
      <c r="F10" s="31" t="n">
        <v>3.0509</v>
      </c>
      <c r="G10" s="31" t="n">
        <v>0.72065</v>
      </c>
      <c r="H10" s="31" t="n">
        <v>0.670204</v>
      </c>
      <c r="I10" s="31" t="n">
        <v>0.662998</v>
      </c>
      <c r="J10" s="32" t="n">
        <v>0.230608</v>
      </c>
      <c r="K10" s="32" t="n">
        <v>0.324292</v>
      </c>
      <c r="L10" s="32" t="n">
        <v>16.596</v>
      </c>
    </row>
    <row r="12" customFormat="false" ht="15" hidden="false" customHeight="false" outlineLevel="0" collapsed="false">
      <c r="A12" s="6" t="s">
        <v>731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23.85" hidden="false" customHeight="false" outlineLevel="0" collapsed="false">
      <c r="A13" s="7"/>
      <c r="B13" s="7" t="s">
        <v>732</v>
      </c>
      <c r="C13" s="7" t="s">
        <v>733</v>
      </c>
      <c r="D13" s="7" t="s">
        <v>734</v>
      </c>
      <c r="E13" s="7" t="s">
        <v>735</v>
      </c>
      <c r="F13" s="7" t="s">
        <v>736</v>
      </c>
      <c r="G13" s="7" t="s">
        <v>737</v>
      </c>
      <c r="H13" s="7" t="s">
        <v>738</v>
      </c>
      <c r="I13" s="7" t="s">
        <v>76</v>
      </c>
      <c r="J13" s="7"/>
      <c r="K13" s="7"/>
      <c r="L13" s="7"/>
    </row>
    <row r="14" customFormat="false" ht="35.05" hidden="false" customHeight="false" outlineLevel="0" collapsed="false">
      <c r="A14" s="5" t="s">
        <v>739</v>
      </c>
      <c r="B14" s="11" t="n">
        <v>1</v>
      </c>
      <c r="C14" s="11" t="n">
        <v>1</v>
      </c>
      <c r="D14" s="5" t="n">
        <v>1.5</v>
      </c>
      <c r="E14" s="5" t="n">
        <v>1.2</v>
      </c>
      <c r="F14" s="5" t="n">
        <v>1</v>
      </c>
      <c r="G14" s="5" t="n">
        <v>0.85</v>
      </c>
      <c r="H14" s="5" t="n">
        <v>0.75</v>
      </c>
      <c r="I14" s="5" t="s">
        <v>740</v>
      </c>
    </row>
    <row r="15" customFormat="false" ht="35.05" hidden="false" customHeight="false" outlineLevel="0" collapsed="false">
      <c r="A15" s="5" t="s">
        <v>741</v>
      </c>
      <c r="B15" s="11" t="n">
        <v>1.08</v>
      </c>
      <c r="C15" s="11" t="s">
        <v>396</v>
      </c>
      <c r="D15" s="5" t="s">
        <v>742</v>
      </c>
      <c r="E15" s="5"/>
      <c r="F15" s="5"/>
      <c r="G15" s="5"/>
      <c r="H15" s="5"/>
      <c r="I15" s="5" t="s">
        <v>743</v>
      </c>
    </row>
    <row r="16" customFormat="false" ht="35.05" hidden="false" customHeight="false" outlineLevel="0" collapsed="false">
      <c r="A16" s="5" t="s">
        <v>320</v>
      </c>
      <c r="B16" s="11" t="n">
        <v>0.95</v>
      </c>
      <c r="C16" s="11" t="n">
        <v>0.92</v>
      </c>
      <c r="D16" s="5" t="s">
        <v>744</v>
      </c>
      <c r="E16" s="5"/>
      <c r="F16" s="5"/>
      <c r="G16" s="5"/>
      <c r="H16" s="5"/>
      <c r="I16" s="5" t="s">
        <v>508</v>
      </c>
    </row>
    <row r="17" customFormat="false" ht="23.85" hidden="false" customHeight="false" outlineLevel="0" collapsed="false">
      <c r="A17" s="5" t="s">
        <v>318</v>
      </c>
      <c r="B17" s="11" t="s">
        <v>396</v>
      </c>
      <c r="C17" s="11" t="n">
        <v>0.93</v>
      </c>
      <c r="D17" s="5"/>
      <c r="E17" s="5"/>
      <c r="F17" s="5"/>
      <c r="G17" s="5"/>
      <c r="H17" s="5"/>
      <c r="I17" s="5" t="s">
        <v>745</v>
      </c>
    </row>
    <row r="18" customFormat="false" ht="23.85" hidden="false" customHeight="false" outlineLevel="0" collapsed="false">
      <c r="A18" s="5" t="s">
        <v>746</v>
      </c>
      <c r="B18" s="11" t="n">
        <v>0.6</v>
      </c>
      <c r="C18" s="11" t="s">
        <v>396</v>
      </c>
      <c r="D18" s="5"/>
      <c r="E18" s="5"/>
      <c r="F18" s="5"/>
      <c r="G18" s="5"/>
      <c r="H18" s="5"/>
      <c r="I18" s="5" t="s">
        <v>747</v>
      </c>
    </row>
    <row r="19" customFormat="false" ht="23.85" hidden="false" customHeight="false" outlineLevel="0" collapsed="false">
      <c r="A19" s="5" t="s">
        <v>748</v>
      </c>
      <c r="B19" s="11" t="n">
        <v>0.27</v>
      </c>
      <c r="C19" s="11" t="n">
        <v>0.32</v>
      </c>
      <c r="D19" s="5"/>
      <c r="E19" s="5"/>
      <c r="F19" s="5"/>
      <c r="G19" s="5"/>
      <c r="H19" s="5"/>
      <c r="I19" s="5" t="s">
        <v>749</v>
      </c>
    </row>
    <row r="20" customFormat="false" ht="23.85" hidden="false" customHeight="false" outlineLevel="0" collapsed="false">
      <c r="A20" s="5" t="s">
        <v>750</v>
      </c>
      <c r="B20" s="11" t="s">
        <v>396</v>
      </c>
      <c r="C20" s="11" t="n">
        <v>0.45</v>
      </c>
      <c r="D20" s="5"/>
      <c r="E20" s="5"/>
      <c r="F20" s="5"/>
      <c r="G20" s="5"/>
      <c r="H20" s="5"/>
      <c r="I20" s="5" t="s">
        <v>751</v>
      </c>
    </row>
    <row r="22" customFormat="false" ht="15" hidden="false" customHeight="false" outlineLevel="0" collapsed="false">
      <c r="A22" s="6" t="s">
        <v>752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3" t="s">
        <v>753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7" t="s">
        <v>467</v>
      </c>
      <c r="B24" s="7" t="s">
        <v>556</v>
      </c>
      <c r="C24" s="7" t="s">
        <v>722</v>
      </c>
      <c r="D24" s="7" t="s">
        <v>723</v>
      </c>
      <c r="E24" s="7" t="s">
        <v>724</v>
      </c>
      <c r="F24" s="7" t="s">
        <v>725</v>
      </c>
      <c r="G24" s="7" t="s">
        <v>726</v>
      </c>
      <c r="H24" s="7" t="s">
        <v>727</v>
      </c>
      <c r="I24" s="7" t="s">
        <v>728</v>
      </c>
      <c r="J24" s="7" t="s">
        <v>729</v>
      </c>
      <c r="K24" s="7" t="s">
        <v>730</v>
      </c>
      <c r="L24" s="7" t="s">
        <v>512</v>
      </c>
    </row>
    <row r="25" customFormat="false" ht="15" hidden="false" customHeight="false" outlineLevel="0" collapsed="false">
      <c r="A25" s="8" t="s">
        <v>473</v>
      </c>
      <c r="B25" s="33" t="n">
        <f aca="false">1/(B6*0.183558)</f>
        <v>0.241065765375692</v>
      </c>
      <c r="C25" s="33" t="n">
        <f aca="false">1/(C6*0.183558)</f>
        <v>0.223209298082591</v>
      </c>
      <c r="D25" s="33" t="n">
        <f aca="false">1/(D6*0.183558)</f>
        <v>0.25375278716961</v>
      </c>
      <c r="E25" s="33" t="n">
        <f aca="false">1/(E6*0.183558)</f>
        <v>0.401775090401696</v>
      </c>
      <c r="F25" s="33" t="n">
        <f aca="false">1/(F6*0.183558)</f>
        <v>0.892829876151593</v>
      </c>
      <c r="G25" s="33" t="n">
        <f aca="false">1/(G6*13.663)</f>
        <v>0.0476070213645446</v>
      </c>
      <c r="H25" s="33" t="n">
        <f aca="false">1/(H6*13.663)</f>
        <v>0.0511903448372092</v>
      </c>
      <c r="I25" s="33" t="n">
        <f aca="false">1/(I6*13.663)</f>
        <v>0.051746766743061</v>
      </c>
      <c r="J25" s="34" t="n">
        <f aca="false">1/(J6*13.663)</f>
        <v>0.148771796610223</v>
      </c>
      <c r="K25" s="34" t="n">
        <f aca="false">1/(K6*13.663)</f>
        <v>0.105793334934249</v>
      </c>
      <c r="L25" s="15" t="n">
        <v>13.663</v>
      </c>
    </row>
    <row r="26" customFormat="false" ht="15" hidden="false" customHeight="false" outlineLevel="0" collapsed="false">
      <c r="A26" s="8" t="s">
        <v>476</v>
      </c>
      <c r="B26" s="33" t="n">
        <f aca="false">1/(B7*0.205372)</f>
        <v>0.26932530244093</v>
      </c>
      <c r="C26" s="33" t="n">
        <f aca="false">1/(C7*0.205372)</f>
        <v>0.249375841993092</v>
      </c>
      <c r="D26" s="33" t="n">
        <f aca="false">1/(D7*0.205372)</f>
        <v>0.283500896078689</v>
      </c>
      <c r="E26" s="33" t="n">
        <f aca="false">1/(E7*0.205372)</f>
        <v>0.448874676464869</v>
      </c>
      <c r="F26" s="33" t="n">
        <f aca="false">1/(F7*0.205372)</f>
        <v>0.997503367972367</v>
      </c>
      <c r="G26" s="33" t="n">
        <f aca="false">1/(G7*15.287)</f>
        <v>0.0567326879782812</v>
      </c>
      <c r="H26" s="33" t="n">
        <f aca="false">1/(H7*15.287)</f>
        <v>0.0610029016768928</v>
      </c>
      <c r="I26" s="33" t="n">
        <f aca="false">1/(I7*15.287)</f>
        <v>0.0616660116992121</v>
      </c>
      <c r="J26" s="34" t="n">
        <f aca="false">1/(J7*15.287)</f>
        <v>0.177289553833146</v>
      </c>
      <c r="K26" s="34" t="n">
        <f aca="false">1/(K7*15.287)</f>
        <v>0.126072639951736</v>
      </c>
      <c r="L26" s="15" t="n">
        <v>15.287</v>
      </c>
    </row>
    <row r="27" customFormat="false" ht="15" hidden="false" customHeight="false" outlineLevel="0" collapsed="false">
      <c r="A27" s="8" t="s">
        <v>478</v>
      </c>
      <c r="B27" s="33" t="n">
        <f aca="false">1/(B8*0.22715)</f>
        <v>0.292204172528605</v>
      </c>
      <c r="C27" s="33" t="n">
        <f aca="false">1/(C8*0.22715)</f>
        <v>0.270559219473015</v>
      </c>
      <c r="D27" s="33" t="n">
        <f aca="false">1/(D8*0.22715)</f>
        <v>0.307583232053352</v>
      </c>
      <c r="E27" s="33" t="n">
        <f aca="false">1/(E8*0.22715)</f>
        <v>0.487010186704414</v>
      </c>
      <c r="F27" s="33" t="n">
        <f aca="false">1/(F8*0.22715)</f>
        <v>1.08225018037593</v>
      </c>
      <c r="G27" s="33" t="n">
        <f aca="false">1/(G8*16.908)</f>
        <v>0.0615523919697526</v>
      </c>
      <c r="H27" s="33" t="n">
        <f aca="false">1/(H8*16.908)</f>
        <v>0.0661853217888066</v>
      </c>
      <c r="I27" s="33" t="n">
        <f aca="false">1/(I8*16.908)</f>
        <v>0.0669047526885366</v>
      </c>
      <c r="J27" s="34" t="n">
        <f aca="false">1/(J8*16.908)</f>
        <v>0.192351299974985</v>
      </c>
      <c r="K27" s="34" t="n">
        <f aca="false">1/(K8*16.908)</f>
        <v>0.136782998363534</v>
      </c>
      <c r="L27" s="15" t="n">
        <v>16.908</v>
      </c>
    </row>
    <row r="28" customFormat="false" ht="15" hidden="false" customHeight="false" outlineLevel="0" collapsed="false">
      <c r="A28" s="8" t="s">
        <v>480</v>
      </c>
      <c r="B28" s="33" t="n">
        <f aca="false">1/(B9*0.23186)</f>
        <v>0.336785890295313</v>
      </c>
      <c r="C28" s="33" t="n">
        <f aca="false">1/(C9*0.23186)</f>
        <v>0.311838697123055</v>
      </c>
      <c r="D28" s="33" t="n">
        <f aca="false">1/(D9*0.23186)</f>
        <v>0.354511172071103</v>
      </c>
      <c r="E28" s="33" t="n">
        <f aca="false">1/(E9*0.23186)</f>
        <v>0.561311278199284</v>
      </c>
      <c r="F28" s="33" t="n">
        <f aca="false">1/(F9*0.23186)</f>
        <v>1.24734576981804</v>
      </c>
      <c r="G28" s="33" t="n">
        <f aca="false">1/(G9*17.258)</f>
        <v>0.0709459872556851</v>
      </c>
      <c r="H28" s="33" t="n">
        <f aca="false">1/(H9*17.258)</f>
        <v>0.0762859555762301</v>
      </c>
      <c r="I28" s="33" t="n">
        <f aca="false">1/(I9*17.258)</f>
        <v>0.0771152158542811</v>
      </c>
      <c r="J28" s="34" t="n">
        <f aca="false">1/(J9*17.258)</f>
        <v>0.221705802993845</v>
      </c>
      <c r="K28" s="34" t="n">
        <f aca="false">1/(K9*17.258)</f>
        <v>0.157657835249977</v>
      </c>
      <c r="L28" s="15" t="n">
        <v>17.258</v>
      </c>
    </row>
    <row r="29" customFormat="false" ht="15" hidden="false" customHeight="false" outlineLevel="0" collapsed="false">
      <c r="A29" s="8" t="s">
        <v>482</v>
      </c>
      <c r="B29" s="33" t="n">
        <f aca="false">1/(B10*0.222967)</f>
        <v>0.396913928603176</v>
      </c>
      <c r="C29" s="33" t="n">
        <f aca="false">1/(C10*0.222967)</f>
        <v>0.367514944699836</v>
      </c>
      <c r="D29" s="33" t="n">
        <f aca="false">1/(D10*0.222967)</f>
        <v>0.417804913796923</v>
      </c>
      <c r="E29" s="33" t="n">
        <f aca="false">1/(E10*0.222967)</f>
        <v>0.661529068785411</v>
      </c>
      <c r="F29" s="33" t="n">
        <f aca="false">1/(F10*0.222967)</f>
        <v>1.47004773268362</v>
      </c>
      <c r="G29" s="33" t="n">
        <f aca="false">1/(G10*16.596)</f>
        <v>0.0836126875029149</v>
      </c>
      <c r="H29" s="33" t="n">
        <f aca="false">1/(H10*16.596)</f>
        <v>0.0899061826682259</v>
      </c>
      <c r="I29" s="33" t="n">
        <f aca="false">1/(I10*16.596)</f>
        <v>0.0908833559814293</v>
      </c>
      <c r="J29" s="34" t="n">
        <f aca="false">1/(J10*16.596)</f>
        <v>0.261289648446609</v>
      </c>
      <c r="K29" s="34" t="n">
        <f aca="false">1/(K10*16.596)</f>
        <v>0.185806258708126</v>
      </c>
      <c r="L29" s="15" t="n">
        <v>16.596</v>
      </c>
    </row>
    <row r="31" customFormat="false" ht="15" hidden="false" customHeight="false" outlineLevel="0" collapsed="false">
      <c r="A31" s="6" t="s">
        <v>754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23.85" hidden="false" customHeight="false" outlineLevel="0" collapsed="false">
      <c r="A32" s="7" t="s">
        <v>755</v>
      </c>
      <c r="B32" s="7" t="s">
        <v>705</v>
      </c>
      <c r="C32" s="7" t="s">
        <v>553</v>
      </c>
      <c r="D32" s="7" t="s">
        <v>712</v>
      </c>
      <c r="E32" s="7" t="s">
        <v>512</v>
      </c>
      <c r="F32" s="7" t="s">
        <v>756</v>
      </c>
      <c r="G32" s="7" t="s">
        <v>757</v>
      </c>
      <c r="H32" s="7" t="s">
        <v>234</v>
      </c>
      <c r="I32" s="7" t="s">
        <v>758</v>
      </c>
      <c r="J32" s="7"/>
      <c r="K32" s="7"/>
      <c r="L32" s="7"/>
    </row>
    <row r="33" customFormat="false" ht="46.25" hidden="false" customHeight="false" outlineLevel="0" collapsed="false">
      <c r="A33" s="5" t="s">
        <v>759</v>
      </c>
      <c r="B33" s="11" t="s">
        <v>760</v>
      </c>
      <c r="C33" s="11" t="s">
        <v>761</v>
      </c>
      <c r="D33" s="11" t="s">
        <v>396</v>
      </c>
      <c r="E33" s="11" t="s">
        <v>501</v>
      </c>
      <c r="F33" s="5" t="s">
        <v>762</v>
      </c>
      <c r="G33" s="5" t="s">
        <v>763</v>
      </c>
      <c r="H33" s="11" t="n">
        <v>2024</v>
      </c>
      <c r="I33" s="5" t="s">
        <v>764</v>
      </c>
    </row>
    <row r="34" customFormat="false" ht="35.05" hidden="false" customHeight="false" outlineLevel="0" collapsed="false">
      <c r="A34" s="5" t="s">
        <v>765</v>
      </c>
      <c r="B34" s="11" t="s">
        <v>766</v>
      </c>
      <c r="C34" s="11" t="s">
        <v>767</v>
      </c>
      <c r="D34" s="11" t="s">
        <v>768</v>
      </c>
      <c r="E34" s="11" t="s">
        <v>501</v>
      </c>
      <c r="F34" s="5" t="s">
        <v>769</v>
      </c>
      <c r="G34" s="5" t="s">
        <v>770</v>
      </c>
      <c r="H34" s="11" t="n">
        <v>2024</v>
      </c>
      <c r="I34" s="5" t="s">
        <v>771</v>
      </c>
    </row>
    <row r="35" customFormat="false" ht="35.05" hidden="false" customHeight="false" outlineLevel="0" collapsed="false">
      <c r="A35" s="5" t="s">
        <v>772</v>
      </c>
      <c r="B35" s="11" t="s">
        <v>773</v>
      </c>
      <c r="C35" s="11" t="s">
        <v>774</v>
      </c>
      <c r="D35" s="11" t="s">
        <v>775</v>
      </c>
      <c r="E35" s="11" t="s">
        <v>501</v>
      </c>
      <c r="F35" s="5" t="s">
        <v>776</v>
      </c>
      <c r="G35" s="5" t="s">
        <v>777</v>
      </c>
      <c r="H35" s="11" t="n">
        <v>2024</v>
      </c>
      <c r="I35" s="5" t="s">
        <v>778</v>
      </c>
    </row>
    <row r="36" customFormat="false" ht="23.85" hidden="false" customHeight="false" outlineLevel="0" collapsed="false">
      <c r="A36" s="5" t="s">
        <v>779</v>
      </c>
      <c r="B36" s="11" t="n">
        <v>0.002639</v>
      </c>
      <c r="C36" s="11" t="s">
        <v>780</v>
      </c>
      <c r="D36" s="11" t="n">
        <v>379</v>
      </c>
      <c r="E36" s="11" t="n">
        <v>2128</v>
      </c>
      <c r="F36" s="5" t="s">
        <v>781</v>
      </c>
      <c r="G36" s="5" t="s">
        <v>782</v>
      </c>
      <c r="H36" s="11" t="n">
        <v>2022</v>
      </c>
      <c r="I36" s="30" t="s">
        <v>783</v>
      </c>
    </row>
    <row r="37" customFormat="false" ht="23.85" hidden="false" customHeight="false" outlineLevel="0" collapsed="false">
      <c r="A37" s="5" t="s">
        <v>784</v>
      </c>
      <c r="B37" s="11" t="n">
        <v>0.001034</v>
      </c>
      <c r="C37" s="11" t="s">
        <v>785</v>
      </c>
      <c r="D37" s="11" t="n">
        <v>967</v>
      </c>
      <c r="E37" s="11" t="n">
        <v>2128</v>
      </c>
      <c r="F37" s="5" t="s">
        <v>786</v>
      </c>
      <c r="G37" s="5" t="s">
        <v>782</v>
      </c>
      <c r="H37" s="11" t="n">
        <v>2022</v>
      </c>
      <c r="I37" s="5" t="s">
        <v>787</v>
      </c>
    </row>
  </sheetData>
  <mergeCells count="7">
    <mergeCell ref="A1:L1"/>
    <mergeCell ref="A2:L2"/>
    <mergeCell ref="A4:L4"/>
    <mergeCell ref="A12:L12"/>
    <mergeCell ref="A22:L22"/>
    <mergeCell ref="A23:L23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25"/>
    <col collapsed="false" customWidth="true" hidden="false" outlineLevel="0" max="11" min="11" style="0" width="6"/>
  </cols>
  <sheetData>
    <row r="1" customFormat="false" ht="24" hidden="false" customHeight="true" outlineLevel="0" collapsed="false">
      <c r="A1" s="1" t="s">
        <v>788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" t="s">
        <v>789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false" outlineLevel="0" collapsed="false">
      <c r="A4" s="6" t="s">
        <v>790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23.85" hidden="false" customHeight="false" outlineLevel="0" collapsed="false">
      <c r="A5" s="7" t="s">
        <v>306</v>
      </c>
      <c r="B5" s="7" t="s">
        <v>791</v>
      </c>
      <c r="C5" s="7" t="s">
        <v>792</v>
      </c>
      <c r="D5" s="7" t="s">
        <v>302</v>
      </c>
      <c r="E5" s="7" t="s">
        <v>793</v>
      </c>
      <c r="F5" s="7" t="s">
        <v>794</v>
      </c>
      <c r="G5" s="7" t="s">
        <v>795</v>
      </c>
      <c r="H5" s="7" t="s">
        <v>76</v>
      </c>
      <c r="I5" s="7" t="s">
        <v>796</v>
      </c>
      <c r="J5" s="7" t="s">
        <v>307</v>
      </c>
      <c r="K5" s="7"/>
    </row>
    <row r="6" customFormat="false" ht="46.25" hidden="false" customHeight="false" outlineLevel="0" collapsed="false">
      <c r="A6" s="5" t="s">
        <v>312</v>
      </c>
      <c r="B6" s="5" t="s">
        <v>797</v>
      </c>
      <c r="C6" s="11" t="n">
        <v>195</v>
      </c>
      <c r="D6" s="11" t="n">
        <v>40.2</v>
      </c>
      <c r="E6" s="11" t="n">
        <v>45.9</v>
      </c>
      <c r="F6" s="11" t="n">
        <v>7.839</v>
      </c>
      <c r="G6" s="11" t="n">
        <v>3.114</v>
      </c>
      <c r="H6" s="5" t="s">
        <v>798</v>
      </c>
      <c r="I6" s="5" t="s">
        <v>799</v>
      </c>
      <c r="J6" s="5" t="s">
        <v>800</v>
      </c>
    </row>
    <row r="7" customFormat="false" ht="46.25" hidden="false" customHeight="false" outlineLevel="0" collapsed="false">
      <c r="A7" s="5" t="s">
        <v>309</v>
      </c>
      <c r="B7" s="5" t="s">
        <v>801</v>
      </c>
      <c r="C7" s="11" t="n">
        <v>200</v>
      </c>
      <c r="D7" s="11" t="n">
        <v>42.7</v>
      </c>
      <c r="E7" s="11" t="n">
        <v>42.2</v>
      </c>
      <c r="F7" s="11" t="n">
        <v>8.54</v>
      </c>
      <c r="G7" s="11" t="n">
        <v>3.206</v>
      </c>
      <c r="H7" s="5" t="s">
        <v>798</v>
      </c>
      <c r="I7" s="5" t="s">
        <v>802</v>
      </c>
      <c r="J7" s="5" t="s">
        <v>363</v>
      </c>
    </row>
    <row r="8" customFormat="false" ht="46.25" hidden="false" customHeight="false" outlineLevel="0" collapsed="false">
      <c r="A8" s="5" t="s">
        <v>318</v>
      </c>
      <c r="B8" s="5" t="s">
        <v>803</v>
      </c>
      <c r="C8" s="11" t="n">
        <v>150</v>
      </c>
      <c r="D8" s="11" t="n">
        <v>48</v>
      </c>
      <c r="E8" s="11" t="n">
        <v>50</v>
      </c>
      <c r="F8" s="11" t="n">
        <v>7.2</v>
      </c>
      <c r="G8" s="11" t="n">
        <v>2.75</v>
      </c>
      <c r="H8" s="5" t="s">
        <v>804</v>
      </c>
      <c r="I8" s="5" t="s">
        <v>805</v>
      </c>
      <c r="J8" s="5" t="s">
        <v>806</v>
      </c>
    </row>
    <row r="9" customFormat="false" ht="46.25" hidden="false" customHeight="false" outlineLevel="0" collapsed="false">
      <c r="A9" s="5" t="s">
        <v>332</v>
      </c>
      <c r="B9" s="5" t="s">
        <v>807</v>
      </c>
      <c r="C9" s="11" t="n">
        <v>400</v>
      </c>
      <c r="D9" s="11" t="n">
        <v>19.9</v>
      </c>
      <c r="E9" s="11" t="n">
        <v>45.2</v>
      </c>
      <c r="F9" s="11" t="n">
        <v>7.96</v>
      </c>
      <c r="G9" s="11" t="n">
        <v>1.375</v>
      </c>
      <c r="H9" s="5" t="s">
        <v>808</v>
      </c>
      <c r="I9" s="5" t="s">
        <v>809</v>
      </c>
      <c r="J9" s="5" t="s">
        <v>810</v>
      </c>
    </row>
    <row r="10" customFormat="false" ht="46.25" hidden="false" customHeight="false" outlineLevel="0" collapsed="false">
      <c r="A10" s="5" t="s">
        <v>335</v>
      </c>
      <c r="B10" s="5" t="s">
        <v>811</v>
      </c>
      <c r="C10" s="11" t="n">
        <v>480</v>
      </c>
      <c r="D10" s="11" t="n">
        <v>18.6</v>
      </c>
      <c r="E10" s="11" t="n">
        <v>40.3</v>
      </c>
      <c r="F10" s="11" t="n">
        <v>8.928</v>
      </c>
      <c r="G10" s="11" t="n">
        <v>0</v>
      </c>
      <c r="H10" s="5" t="s">
        <v>812</v>
      </c>
      <c r="I10" s="5" t="s">
        <v>813</v>
      </c>
      <c r="J10" s="5" t="s">
        <v>814</v>
      </c>
    </row>
    <row r="11" customFormat="false" ht="35.05" hidden="false" customHeight="false" outlineLevel="0" collapsed="false">
      <c r="A11" s="5" t="s">
        <v>329</v>
      </c>
      <c r="B11" s="5" t="s">
        <v>815</v>
      </c>
      <c r="C11" s="11" t="n">
        <v>180</v>
      </c>
      <c r="D11" s="11" t="n">
        <v>120</v>
      </c>
      <c r="E11" s="11" t="n">
        <v>40</v>
      </c>
      <c r="F11" s="11" t="n">
        <v>21.6</v>
      </c>
      <c r="G11" s="11" t="n">
        <v>0</v>
      </c>
      <c r="H11" s="5" t="s">
        <v>816</v>
      </c>
      <c r="I11" s="5" t="s">
        <v>817</v>
      </c>
      <c r="J11" s="5" t="s">
        <v>818</v>
      </c>
    </row>
    <row r="12" customFormat="false" ht="35.05" hidden="false" customHeight="false" outlineLevel="0" collapsed="false">
      <c r="A12" s="5" t="s">
        <v>819</v>
      </c>
      <c r="B12" s="5" t="s">
        <v>820</v>
      </c>
      <c r="C12" s="11" t="n">
        <v>297.5</v>
      </c>
      <c r="D12" s="11" t="n">
        <v>30.1</v>
      </c>
      <c r="E12" s="11" t="n">
        <v>45.5</v>
      </c>
      <c r="F12" s="11" t="n">
        <v>8.955</v>
      </c>
      <c r="G12" s="11" t="n">
        <v>2.244</v>
      </c>
      <c r="H12" s="5" t="s">
        <v>821</v>
      </c>
      <c r="I12" s="5" t="s">
        <v>822</v>
      </c>
      <c r="J12" s="5" t="s">
        <v>823</v>
      </c>
    </row>
    <row r="13" customFormat="false" ht="35.05" hidden="false" customHeight="false" outlineLevel="0" collapsed="false">
      <c r="A13" s="5" t="s">
        <v>824</v>
      </c>
      <c r="B13" s="5" t="s">
        <v>825</v>
      </c>
      <c r="C13" s="11" t="n">
        <v>337.5</v>
      </c>
      <c r="D13" s="11" t="n">
        <v>29.4</v>
      </c>
      <c r="E13" s="11" t="n">
        <v>43.1</v>
      </c>
      <c r="F13" s="11" t="n">
        <v>9.923</v>
      </c>
      <c r="G13" s="11" t="n">
        <v>1.557</v>
      </c>
      <c r="H13" s="5" t="s">
        <v>821</v>
      </c>
      <c r="I13" s="5" t="s">
        <v>826</v>
      </c>
      <c r="J13" s="5" t="s">
        <v>823</v>
      </c>
    </row>
    <row r="15" customFormat="false" ht="15" hidden="false" customHeight="false" outlineLevel="0" collapsed="false">
      <c r="A15" s="6" t="s">
        <v>827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A16" s="3" t="s">
        <v>828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23.85" hidden="false" customHeight="false" outlineLevel="0" collapsed="false">
      <c r="A17" s="7" t="s">
        <v>151</v>
      </c>
      <c r="B17" s="7" t="s">
        <v>791</v>
      </c>
      <c r="C17" s="7" t="s">
        <v>794</v>
      </c>
      <c r="D17" s="7" t="s">
        <v>829</v>
      </c>
      <c r="E17" s="7" t="s">
        <v>830</v>
      </c>
      <c r="F17" s="7" t="s">
        <v>705</v>
      </c>
      <c r="G17" s="7" t="s">
        <v>831</v>
      </c>
      <c r="H17" s="7" t="s">
        <v>832</v>
      </c>
      <c r="I17" s="7" t="s">
        <v>76</v>
      </c>
      <c r="J17" s="7" t="s">
        <v>307</v>
      </c>
      <c r="K17" s="7"/>
    </row>
    <row r="18" customFormat="false" ht="15" hidden="false" customHeight="false" outlineLevel="0" collapsed="false">
      <c r="A18" s="5" t="s">
        <v>312</v>
      </c>
      <c r="B18" s="5" t="s">
        <v>797</v>
      </c>
      <c r="C18" s="11" t="n">
        <v>7.839</v>
      </c>
      <c r="D18" s="11" t="n">
        <v>362.671</v>
      </c>
      <c r="E18" s="35" t="n">
        <v>0.17043</v>
      </c>
      <c r="F18" s="36" t="n">
        <v>0.0027573</v>
      </c>
      <c r="G18" s="35" t="n">
        <v>5867.8</v>
      </c>
      <c r="H18" s="37" t="n">
        <v>1</v>
      </c>
      <c r="I18" s="5" t="s">
        <v>833</v>
      </c>
      <c r="J18" s="5" t="s">
        <v>834</v>
      </c>
    </row>
    <row r="19" customFormat="false" ht="15" hidden="false" customHeight="false" outlineLevel="0" collapsed="false">
      <c r="A19" s="5" t="s">
        <v>309</v>
      </c>
      <c r="B19" s="5" t="s">
        <v>801</v>
      </c>
      <c r="C19" s="11" t="n">
        <v>8.54</v>
      </c>
      <c r="D19" s="11" t="n">
        <v>395.1027</v>
      </c>
      <c r="E19" s="35" t="n">
        <v>0.18567</v>
      </c>
      <c r="F19" s="36" t="n">
        <v>0.002531</v>
      </c>
      <c r="G19" s="35" t="n">
        <v>5386.8</v>
      </c>
      <c r="H19" s="37" t="n">
        <v>0.918</v>
      </c>
      <c r="I19" s="5" t="s">
        <v>833</v>
      </c>
      <c r="J19" s="5"/>
    </row>
    <row r="20" customFormat="false" ht="15" hidden="false" customHeight="false" outlineLevel="0" collapsed="false">
      <c r="A20" s="5" t="s">
        <v>318</v>
      </c>
      <c r="B20" s="5" t="s">
        <v>835</v>
      </c>
      <c r="C20" s="11" t="n">
        <v>7.2</v>
      </c>
      <c r="D20" s="11" t="n">
        <v>333.1077</v>
      </c>
      <c r="E20" s="35" t="n">
        <v>0.15654</v>
      </c>
      <c r="F20" s="36" t="n">
        <v>0.003002</v>
      </c>
      <c r="G20" s="35" t="n">
        <v>6388.4</v>
      </c>
      <c r="H20" s="37" t="n">
        <v>1.0887</v>
      </c>
      <c r="I20" s="5" t="s">
        <v>836</v>
      </c>
      <c r="J20" s="5" t="s">
        <v>837</v>
      </c>
    </row>
    <row r="21" customFormat="false" ht="15" hidden="false" customHeight="false" outlineLevel="0" collapsed="false">
      <c r="A21" s="5" t="s">
        <v>332</v>
      </c>
      <c r="B21" s="5" t="s">
        <v>807</v>
      </c>
      <c r="C21" s="11" t="n">
        <v>7.96</v>
      </c>
      <c r="D21" s="11" t="n">
        <v>368.269</v>
      </c>
      <c r="E21" s="35" t="n">
        <v>0.17305</v>
      </c>
      <c r="F21" s="36" t="n">
        <v>0.0027154</v>
      </c>
      <c r="G21" s="35" t="n">
        <v>5780</v>
      </c>
      <c r="H21" s="37" t="n">
        <v>0.9848</v>
      </c>
      <c r="I21" s="5" t="s">
        <v>838</v>
      </c>
      <c r="J21" s="5"/>
    </row>
    <row r="22" customFormat="false" ht="15" hidden="false" customHeight="false" outlineLevel="0" collapsed="false">
      <c r="A22" s="5" t="s">
        <v>335</v>
      </c>
      <c r="B22" s="5" t="s">
        <v>839</v>
      </c>
      <c r="C22" s="11" t="n">
        <v>8.928</v>
      </c>
      <c r="D22" s="11" t="n">
        <v>413.0535</v>
      </c>
      <c r="E22" s="35" t="n">
        <v>0.19411</v>
      </c>
      <c r="F22" s="36" t="n">
        <v>0.002421</v>
      </c>
      <c r="G22" s="35" t="n">
        <v>5152.9</v>
      </c>
      <c r="H22" s="37" t="n">
        <v>0.878</v>
      </c>
      <c r="I22" s="5" t="s">
        <v>840</v>
      </c>
      <c r="J22" s="5" t="s">
        <v>841</v>
      </c>
    </row>
    <row r="23" customFormat="false" ht="15" hidden="false" customHeight="false" outlineLevel="0" collapsed="false">
      <c r="A23" s="5" t="s">
        <v>329</v>
      </c>
      <c r="B23" s="5" t="s">
        <v>815</v>
      </c>
      <c r="C23" s="11" t="n">
        <v>21.6</v>
      </c>
      <c r="D23" s="11" t="n">
        <v>999.323</v>
      </c>
      <c r="E23" s="35" t="n">
        <v>0.46961</v>
      </c>
      <c r="F23" s="36" t="n">
        <v>0.0010007</v>
      </c>
      <c r="G23" s="35" t="n">
        <v>2129.8</v>
      </c>
      <c r="H23" s="37" t="n">
        <v>0.3629</v>
      </c>
      <c r="I23" s="5" t="s">
        <v>842</v>
      </c>
      <c r="J23" s="5" t="s">
        <v>843</v>
      </c>
    </row>
    <row r="24" customFormat="false" ht="15" hidden="false" customHeight="false" outlineLevel="0" collapsed="false">
      <c r="A24" s="5" t="s">
        <v>819</v>
      </c>
      <c r="B24" s="5" t="s">
        <v>844</v>
      </c>
      <c r="C24" s="11" t="n">
        <v>8.955</v>
      </c>
      <c r="D24" s="11" t="n">
        <v>414.2911</v>
      </c>
      <c r="E24" s="35" t="n">
        <v>0.19468</v>
      </c>
      <c r="F24" s="36" t="n">
        <v>0.0024138</v>
      </c>
      <c r="G24" s="35" t="n">
        <v>5137.6</v>
      </c>
      <c r="H24" s="37" t="n">
        <v>0.8754</v>
      </c>
      <c r="I24" s="5" t="s">
        <v>845</v>
      </c>
      <c r="J24" s="5"/>
    </row>
    <row r="25" customFormat="false" ht="15" hidden="false" customHeight="false" outlineLevel="0" collapsed="false">
      <c r="A25" s="5" t="s">
        <v>824</v>
      </c>
      <c r="B25" s="5" t="s">
        <v>846</v>
      </c>
      <c r="C25" s="11" t="n">
        <v>9.923</v>
      </c>
      <c r="D25" s="11" t="n">
        <v>459.064</v>
      </c>
      <c r="E25" s="35" t="n">
        <v>0.21572</v>
      </c>
      <c r="F25" s="36" t="n">
        <v>0.0021783</v>
      </c>
      <c r="G25" s="35" t="n">
        <v>4637.1</v>
      </c>
      <c r="H25" s="37" t="n">
        <v>0.79</v>
      </c>
      <c r="I25" s="5" t="s">
        <v>845</v>
      </c>
      <c r="J25" s="5"/>
    </row>
    <row r="27" customFormat="false" ht="15" hidden="false" customHeight="false" outlineLevel="0" collapsed="false">
      <c r="A27" s="6" t="s">
        <v>847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" hidden="false" customHeight="false" outlineLevel="0" collapsed="false">
      <c r="A28" s="3" t="s">
        <v>848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23.85" hidden="false" customHeight="false" outlineLevel="0" collapsed="false">
      <c r="A29" s="7" t="s">
        <v>151</v>
      </c>
      <c r="B29" s="7" t="s">
        <v>791</v>
      </c>
      <c r="C29" s="7" t="s">
        <v>794</v>
      </c>
      <c r="D29" s="7" t="s">
        <v>849</v>
      </c>
      <c r="E29" s="7" t="s">
        <v>830</v>
      </c>
      <c r="F29" s="7" t="s">
        <v>705</v>
      </c>
      <c r="G29" s="7" t="s">
        <v>831</v>
      </c>
      <c r="H29" s="7" t="s">
        <v>832</v>
      </c>
      <c r="I29" s="7" t="s">
        <v>76</v>
      </c>
      <c r="J29" s="7" t="s">
        <v>307</v>
      </c>
      <c r="K29" s="7"/>
    </row>
    <row r="30" customFormat="false" ht="15" hidden="false" customHeight="false" outlineLevel="0" collapsed="false">
      <c r="A30" s="5" t="s">
        <v>312</v>
      </c>
      <c r="B30" s="5" t="s">
        <v>797</v>
      </c>
      <c r="C30" s="11" t="n">
        <v>7.839</v>
      </c>
      <c r="D30" s="11" t="n">
        <v>1117.058</v>
      </c>
      <c r="E30" s="35" t="n">
        <v>0.5249</v>
      </c>
      <c r="F30" s="38" t="n">
        <v>0.0008952</v>
      </c>
      <c r="G30" s="35" t="n">
        <v>1905</v>
      </c>
      <c r="H30" s="11" t="n">
        <v>1</v>
      </c>
      <c r="I30" s="5" t="s">
        <v>850</v>
      </c>
      <c r="J30" s="5"/>
    </row>
    <row r="31" customFormat="false" ht="15" hidden="false" customHeight="false" outlineLevel="0" collapsed="false">
      <c r="A31" s="5" t="s">
        <v>309</v>
      </c>
      <c r="B31" s="5" t="s">
        <v>801</v>
      </c>
      <c r="C31" s="11" t="n">
        <v>8.54</v>
      </c>
      <c r="D31" s="11" t="n">
        <v>1216.95</v>
      </c>
      <c r="E31" s="35" t="n">
        <v>0.5719</v>
      </c>
      <c r="F31" s="38" t="n">
        <v>0.0008217</v>
      </c>
      <c r="G31" s="35" t="n">
        <v>1748.6</v>
      </c>
      <c r="H31" s="11" t="n">
        <v>0.9179</v>
      </c>
      <c r="I31" s="5" t="s">
        <v>850</v>
      </c>
      <c r="J31" s="5"/>
    </row>
    <row r="32" customFormat="false" ht="15" hidden="false" customHeight="false" outlineLevel="0" collapsed="false">
      <c r="A32" s="5" t="s">
        <v>318</v>
      </c>
      <c r="B32" s="5" t="s">
        <v>835</v>
      </c>
      <c r="C32" s="11" t="n">
        <v>7.2</v>
      </c>
      <c r="D32" s="11" t="n">
        <v>1026</v>
      </c>
      <c r="E32" s="35" t="n">
        <v>0.4821</v>
      </c>
      <c r="F32" s="38" t="n">
        <v>0.0009747</v>
      </c>
      <c r="G32" s="35" t="n">
        <v>2074.1</v>
      </c>
      <c r="H32" s="11" t="n">
        <v>1.0887</v>
      </c>
      <c r="I32" s="5" t="s">
        <v>851</v>
      </c>
      <c r="J32" s="5" t="s">
        <v>837</v>
      </c>
    </row>
    <row r="33" customFormat="false" ht="15" hidden="false" customHeight="false" outlineLevel="0" collapsed="false">
      <c r="A33" s="5" t="s">
        <v>332</v>
      </c>
      <c r="B33" s="5" t="s">
        <v>852</v>
      </c>
      <c r="C33" s="11" t="n">
        <v>7.96</v>
      </c>
      <c r="D33" s="11" t="n">
        <v>1134.3</v>
      </c>
      <c r="E33" s="35" t="n">
        <v>0.533</v>
      </c>
      <c r="F33" s="38" t="n">
        <v>0.0008816</v>
      </c>
      <c r="G33" s="35" t="n">
        <v>1876</v>
      </c>
      <c r="H33" s="11" t="n">
        <v>0.9848</v>
      </c>
      <c r="I33" s="5" t="s">
        <v>853</v>
      </c>
      <c r="J33" s="5"/>
    </row>
    <row r="34" customFormat="false" ht="15" hidden="false" customHeight="false" outlineLevel="0" collapsed="false">
      <c r="A34" s="5" t="s">
        <v>335</v>
      </c>
      <c r="B34" s="5" t="s">
        <v>854</v>
      </c>
      <c r="C34" s="11" t="n">
        <v>8.928</v>
      </c>
      <c r="D34" s="11" t="n">
        <v>1272.24</v>
      </c>
      <c r="E34" s="35" t="n">
        <v>0.5979</v>
      </c>
      <c r="F34" s="38" t="n">
        <v>0.000786</v>
      </c>
      <c r="G34" s="35" t="n">
        <v>1672.6</v>
      </c>
      <c r="H34" s="11" t="n">
        <v>0.878</v>
      </c>
      <c r="I34" s="5" t="s">
        <v>855</v>
      </c>
      <c r="J34" s="5" t="s">
        <v>841</v>
      </c>
    </row>
    <row r="35" customFormat="false" ht="15" hidden="false" customHeight="false" outlineLevel="0" collapsed="false">
      <c r="A35" s="5" t="s">
        <v>329</v>
      </c>
      <c r="B35" s="5" t="s">
        <v>856</v>
      </c>
      <c r="C35" s="11" t="n">
        <v>21.6</v>
      </c>
      <c r="D35" s="11" t="n">
        <v>3078</v>
      </c>
      <c r="E35" s="35" t="n">
        <v>1.4464</v>
      </c>
      <c r="F35" s="38" t="n">
        <v>0.0003249</v>
      </c>
      <c r="G35" s="35" t="n">
        <v>691.4</v>
      </c>
      <c r="H35" s="11" t="n">
        <v>0.3629</v>
      </c>
      <c r="I35" s="5" t="s">
        <v>851</v>
      </c>
      <c r="J35" s="5" t="s">
        <v>843</v>
      </c>
    </row>
    <row r="36" customFormat="false" ht="15" hidden="false" customHeight="false" outlineLevel="0" collapsed="false">
      <c r="A36" s="5" t="s">
        <v>819</v>
      </c>
      <c r="B36" s="5" t="s">
        <v>857</v>
      </c>
      <c r="C36" s="11" t="n">
        <v>8.955</v>
      </c>
      <c r="D36" s="11" t="n">
        <v>1276.052</v>
      </c>
      <c r="E36" s="35" t="n">
        <v>0.5996</v>
      </c>
      <c r="F36" s="38" t="n">
        <v>0.0007837</v>
      </c>
      <c r="G36" s="35" t="n">
        <v>1667.6</v>
      </c>
      <c r="H36" s="11" t="n">
        <v>0.8754</v>
      </c>
      <c r="I36" s="5" t="s">
        <v>858</v>
      </c>
      <c r="J36" s="5"/>
    </row>
    <row r="37" customFormat="false" ht="15" hidden="false" customHeight="false" outlineLevel="0" collapsed="false">
      <c r="A37" s="5" t="s">
        <v>824</v>
      </c>
      <c r="B37" s="5" t="s">
        <v>859</v>
      </c>
      <c r="C37" s="11" t="n">
        <v>9.923</v>
      </c>
      <c r="D37" s="11" t="n">
        <v>1413.956</v>
      </c>
      <c r="E37" s="35" t="n">
        <v>0.6645</v>
      </c>
      <c r="F37" s="38" t="n">
        <v>0.0007072</v>
      </c>
      <c r="G37" s="35" t="n">
        <v>1505</v>
      </c>
      <c r="H37" s="11" t="n">
        <v>0.79</v>
      </c>
      <c r="I37" s="5" t="s">
        <v>858</v>
      </c>
      <c r="J37" s="5"/>
    </row>
    <row r="39" customFormat="false" ht="15" hidden="false" customHeight="false" outlineLevel="0" collapsed="false">
      <c r="A39" s="6" t="s">
        <v>860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35.05" hidden="false" customHeight="false" outlineLevel="0" collapsed="false">
      <c r="A40" s="7" t="s">
        <v>861</v>
      </c>
      <c r="B40" s="7" t="s">
        <v>553</v>
      </c>
      <c r="C40" s="7" t="s">
        <v>831</v>
      </c>
      <c r="D40" s="7" t="s">
        <v>705</v>
      </c>
      <c r="E40" s="7" t="s">
        <v>512</v>
      </c>
      <c r="F40" s="7" t="s">
        <v>862</v>
      </c>
      <c r="G40" s="7" t="s">
        <v>863</v>
      </c>
      <c r="H40" s="7" t="s">
        <v>307</v>
      </c>
      <c r="I40" s="7"/>
      <c r="J40" s="7"/>
      <c r="K40" s="7"/>
    </row>
    <row r="41" customFormat="false" ht="35.05" hidden="false" customHeight="false" outlineLevel="0" collapsed="false">
      <c r="A41" s="5" t="s">
        <v>864</v>
      </c>
      <c r="B41" s="11" t="n">
        <v>0.1704</v>
      </c>
      <c r="C41" s="11" t="n">
        <v>5867.8</v>
      </c>
      <c r="D41" s="39" t="n">
        <v>0.0027573</v>
      </c>
      <c r="E41" s="11" t="n">
        <v>2128</v>
      </c>
      <c r="F41" s="11" t="n">
        <v>12.5</v>
      </c>
      <c r="G41" s="11" t="n">
        <v>0.177</v>
      </c>
      <c r="H41" s="5" t="s">
        <v>865</v>
      </c>
      <c r="I41" s="5"/>
      <c r="J41" s="5"/>
      <c r="K41" s="5"/>
    </row>
    <row r="42" customFormat="false" ht="35.05" hidden="false" customHeight="false" outlineLevel="0" collapsed="false">
      <c r="A42" s="5" t="s">
        <v>866</v>
      </c>
      <c r="B42" s="11" t="n">
        <v>0.1565</v>
      </c>
      <c r="C42" s="11" t="n">
        <v>6388.4</v>
      </c>
      <c r="D42" s="39" t="n">
        <v>0.003002</v>
      </c>
      <c r="E42" s="11" t="n">
        <v>2128</v>
      </c>
      <c r="F42" s="11" t="n">
        <v>8.6</v>
      </c>
      <c r="G42" s="11" t="n">
        <v>0.163</v>
      </c>
      <c r="H42" s="5" t="s">
        <v>867</v>
      </c>
      <c r="I42" s="5"/>
      <c r="J42" s="5"/>
      <c r="K42" s="5"/>
    </row>
    <row r="43" customFormat="false" ht="35.05" hidden="false" customHeight="false" outlineLevel="0" collapsed="false">
      <c r="A43" s="5" t="s">
        <v>868</v>
      </c>
      <c r="B43" s="11" t="n">
        <v>0.5249</v>
      </c>
      <c r="C43" s="11" t="n">
        <v>1905</v>
      </c>
      <c r="D43" s="39" t="n">
        <v>0.00089521</v>
      </c>
      <c r="E43" s="11" t="n">
        <v>2128</v>
      </c>
      <c r="F43" s="11" t="n">
        <v>38.6</v>
      </c>
      <c r="G43" s="11" t="n">
        <v>0.546</v>
      </c>
      <c r="H43" s="5" t="s">
        <v>869</v>
      </c>
      <c r="I43" s="5"/>
      <c r="J43" s="5"/>
      <c r="K43" s="5"/>
    </row>
    <row r="44" customFormat="false" ht="35.05" hidden="false" customHeight="false" outlineLevel="0" collapsed="false">
      <c r="A44" s="5" t="s">
        <v>870</v>
      </c>
      <c r="B44" s="11" t="n">
        <v>0.4821</v>
      </c>
      <c r="C44" s="11" t="n">
        <v>2074.1</v>
      </c>
      <c r="D44" s="39" t="n">
        <v>0.00097466</v>
      </c>
      <c r="E44" s="11" t="n">
        <v>2128</v>
      </c>
      <c r="F44" s="11" t="n">
        <v>26.5</v>
      </c>
      <c r="G44" s="11" t="n">
        <v>0.502</v>
      </c>
      <c r="H44" s="5" t="s">
        <v>871</v>
      </c>
      <c r="I44" s="5"/>
      <c r="J44" s="5"/>
      <c r="K44" s="5"/>
    </row>
    <row r="45" customFormat="false" ht="23.85" hidden="false" customHeight="false" outlineLevel="0" collapsed="false">
      <c r="A45" s="5" t="s">
        <v>872</v>
      </c>
      <c r="B45" s="11" t="n">
        <v>0.7</v>
      </c>
      <c r="C45" s="11" t="n">
        <v>1428.6</v>
      </c>
      <c r="D45" s="39" t="n">
        <v>0.01894</v>
      </c>
      <c r="E45" s="11" t="n">
        <v>450</v>
      </c>
      <c r="F45" s="11" t="n">
        <v>22.4</v>
      </c>
      <c r="G45" s="11" t="n">
        <v>0.729</v>
      </c>
      <c r="H45" s="5" t="s">
        <v>873</v>
      </c>
      <c r="I45" s="5"/>
      <c r="J45" s="5"/>
      <c r="K45" s="5"/>
    </row>
    <row r="46" customFormat="false" ht="23.85" hidden="false" customHeight="false" outlineLevel="0" collapsed="false">
      <c r="A46" s="5" t="s">
        <v>874</v>
      </c>
      <c r="B46" s="11" t="n">
        <v>0.54</v>
      </c>
      <c r="C46" s="11" t="n">
        <v>1851.9</v>
      </c>
      <c r="D46" s="39" t="n">
        <v>0.03</v>
      </c>
      <c r="E46" s="11" t="n">
        <v>450</v>
      </c>
      <c r="F46" s="11" t="n">
        <v>48</v>
      </c>
      <c r="G46" s="11" t="n">
        <v>0.562</v>
      </c>
      <c r="H46" s="5" t="s">
        <v>875</v>
      </c>
      <c r="I46" s="5"/>
      <c r="J46" s="5"/>
      <c r="K46" s="5"/>
    </row>
    <row r="47" customFormat="false" ht="23.85" hidden="false" customHeight="false" outlineLevel="0" collapsed="false">
      <c r="A47" s="5" t="s">
        <v>876</v>
      </c>
      <c r="B47" s="11" t="n">
        <v>0.9609</v>
      </c>
      <c r="C47" s="11" t="n">
        <v>1040.7</v>
      </c>
      <c r="D47" s="39" t="n">
        <v>6.1551E-005</v>
      </c>
      <c r="E47" s="11" t="n">
        <v>16.9</v>
      </c>
      <c r="F47" s="11" t="n">
        <v>70.7</v>
      </c>
      <c r="G47" s="11" t="n">
        <v>1</v>
      </c>
      <c r="H47" s="12" t="s">
        <v>877</v>
      </c>
      <c r="I47" s="5"/>
      <c r="J47" s="5"/>
      <c r="K47" s="5"/>
    </row>
    <row r="48" customFormat="false" ht="23.85" hidden="false" customHeight="false" outlineLevel="0" collapsed="false">
      <c r="A48" s="5" t="s">
        <v>878</v>
      </c>
      <c r="B48" s="11" t="n">
        <v>0.3075</v>
      </c>
      <c r="C48" s="11" t="n">
        <v>3252.3</v>
      </c>
      <c r="D48" s="39" t="n">
        <v>0.00019234</v>
      </c>
      <c r="E48" s="11" t="n">
        <v>16.9</v>
      </c>
      <c r="F48" s="11" t="n">
        <v>27.3</v>
      </c>
      <c r="G48" s="11" t="n">
        <v>0.32</v>
      </c>
      <c r="H48" s="5" t="s">
        <v>875</v>
      </c>
      <c r="I48" s="5"/>
      <c r="J48" s="5"/>
      <c r="K48" s="5"/>
    </row>
    <row r="49" customFormat="false" ht="35.05" hidden="false" customHeight="false" outlineLevel="0" collapsed="false">
      <c r="A49" s="5" t="s">
        <v>879</v>
      </c>
      <c r="B49" s="11" t="n">
        <v>0.4324</v>
      </c>
      <c r="C49" s="11" t="n">
        <v>2312.7</v>
      </c>
      <c r="D49" s="39" t="n">
        <v>0.00013678</v>
      </c>
      <c r="E49" s="11" t="n">
        <v>16.9</v>
      </c>
      <c r="F49" s="11" t="n">
        <v>0</v>
      </c>
      <c r="G49" s="11" t="n">
        <v>0.45</v>
      </c>
      <c r="H49" s="5" t="s">
        <v>880</v>
      </c>
      <c r="I49" s="5"/>
      <c r="J49" s="5"/>
      <c r="K49" s="5"/>
    </row>
    <row r="51" customFormat="false" ht="30" hidden="false" customHeight="true" outlineLevel="0" collapsed="false">
      <c r="A51" s="14" t="s">
        <v>881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</row>
  </sheetData>
  <mergeCells count="9">
    <mergeCell ref="A1:K1"/>
    <mergeCell ref="A2:K2"/>
    <mergeCell ref="A4:K4"/>
    <mergeCell ref="A15:K15"/>
    <mergeCell ref="A16:K16"/>
    <mergeCell ref="A27:K27"/>
    <mergeCell ref="A28:K28"/>
    <mergeCell ref="A39:K39"/>
    <mergeCell ref="A51:K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1" t="s">
        <v>882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" t="s">
        <v>883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false" outlineLevel="0" collapsed="false">
      <c r="A4" s="6" t="s">
        <v>884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23.85" hidden="false" customHeight="false" outlineLevel="0" collapsed="false">
      <c r="A5" s="7" t="s">
        <v>885</v>
      </c>
      <c r="B5" s="7" t="s">
        <v>886</v>
      </c>
      <c r="C5" s="7" t="s">
        <v>887</v>
      </c>
      <c r="D5" s="7" t="s">
        <v>888</v>
      </c>
      <c r="E5" s="7" t="s">
        <v>889</v>
      </c>
      <c r="F5" s="7" t="s">
        <v>890</v>
      </c>
      <c r="G5" s="7" t="s">
        <v>891</v>
      </c>
      <c r="H5" s="7" t="s">
        <v>892</v>
      </c>
      <c r="I5" s="7" t="s">
        <v>893</v>
      </c>
      <c r="J5" s="7" t="s">
        <v>894</v>
      </c>
    </row>
    <row r="6" customFormat="false" ht="15" hidden="false" customHeight="false" outlineLevel="0" collapsed="false">
      <c r="A6" s="5" t="s">
        <v>895</v>
      </c>
      <c r="B6" s="5" t="s">
        <v>896</v>
      </c>
      <c r="C6" s="5" t="s">
        <v>897</v>
      </c>
      <c r="D6" s="11" t="n">
        <v>2020</v>
      </c>
      <c r="E6" s="5" t="s">
        <v>898</v>
      </c>
      <c r="F6" s="40" t="n">
        <v>0.0002411</v>
      </c>
      <c r="G6" s="5" t="s">
        <v>899</v>
      </c>
      <c r="H6" s="5" t="s">
        <v>236</v>
      </c>
      <c r="I6" s="5" t="s">
        <v>473</v>
      </c>
      <c r="J6" s="30" t="s">
        <v>900</v>
      </c>
    </row>
    <row r="7" customFormat="false" ht="15" hidden="false" customHeight="false" outlineLevel="0" collapsed="false">
      <c r="A7" s="5" t="s">
        <v>895</v>
      </c>
      <c r="B7" s="5" t="s">
        <v>896</v>
      </c>
      <c r="C7" s="5" t="s">
        <v>897</v>
      </c>
      <c r="D7" s="11" t="n">
        <v>2020</v>
      </c>
      <c r="E7" s="5" t="s">
        <v>898</v>
      </c>
      <c r="F7" s="40" t="n">
        <v>0.0002693</v>
      </c>
      <c r="G7" s="5" t="s">
        <v>899</v>
      </c>
      <c r="H7" s="5" t="s">
        <v>236</v>
      </c>
      <c r="I7" s="5" t="s">
        <v>476</v>
      </c>
      <c r="J7" s="30" t="s">
        <v>900</v>
      </c>
    </row>
    <row r="8" customFormat="false" ht="23.85" hidden="false" customHeight="false" outlineLevel="0" collapsed="false">
      <c r="A8" s="5" t="s">
        <v>895</v>
      </c>
      <c r="B8" s="5" t="s">
        <v>896</v>
      </c>
      <c r="C8" s="5" t="s">
        <v>897</v>
      </c>
      <c r="D8" s="11" t="n">
        <v>2020</v>
      </c>
      <c r="E8" s="5" t="s">
        <v>898</v>
      </c>
      <c r="F8" s="40" t="n">
        <v>0.0002922</v>
      </c>
      <c r="G8" s="5" t="s">
        <v>899</v>
      </c>
      <c r="H8" s="5" t="s">
        <v>236</v>
      </c>
      <c r="I8" s="5" t="s">
        <v>478</v>
      </c>
      <c r="J8" s="30" t="s">
        <v>900</v>
      </c>
    </row>
    <row r="9" customFormat="false" ht="23.85" hidden="false" customHeight="false" outlineLevel="0" collapsed="false">
      <c r="A9" s="5" t="s">
        <v>895</v>
      </c>
      <c r="B9" s="5" t="s">
        <v>896</v>
      </c>
      <c r="C9" s="5" t="s">
        <v>897</v>
      </c>
      <c r="D9" s="11" t="n">
        <v>2020</v>
      </c>
      <c r="E9" s="5" t="s">
        <v>898</v>
      </c>
      <c r="F9" s="40" t="n">
        <v>0.0003368</v>
      </c>
      <c r="G9" s="5" t="s">
        <v>899</v>
      </c>
      <c r="H9" s="5" t="s">
        <v>236</v>
      </c>
      <c r="I9" s="5" t="s">
        <v>480</v>
      </c>
      <c r="J9" s="30" t="s">
        <v>900</v>
      </c>
    </row>
    <row r="10" customFormat="false" ht="15" hidden="false" customHeight="false" outlineLevel="0" collapsed="false">
      <c r="A10" s="5" t="s">
        <v>895</v>
      </c>
      <c r="B10" s="5" t="s">
        <v>896</v>
      </c>
      <c r="C10" s="5" t="s">
        <v>897</v>
      </c>
      <c r="D10" s="11" t="n">
        <v>2020</v>
      </c>
      <c r="E10" s="5" t="s">
        <v>898</v>
      </c>
      <c r="F10" s="40" t="n">
        <v>0.0003969</v>
      </c>
      <c r="G10" s="5" t="s">
        <v>899</v>
      </c>
      <c r="H10" s="5" t="s">
        <v>236</v>
      </c>
      <c r="I10" s="5" t="s">
        <v>482</v>
      </c>
      <c r="J10" s="30" t="s">
        <v>900</v>
      </c>
    </row>
    <row r="11" customFormat="false" ht="15" hidden="false" customHeight="false" outlineLevel="0" collapsed="false">
      <c r="A11" s="5" t="s">
        <v>895</v>
      </c>
      <c r="B11" s="5" t="s">
        <v>347</v>
      </c>
      <c r="C11" s="5" t="s">
        <v>901</v>
      </c>
      <c r="D11" s="11" t="n">
        <v>2025</v>
      </c>
      <c r="E11" s="5" t="s">
        <v>898</v>
      </c>
      <c r="F11" s="40" t="n">
        <v>0.0008928</v>
      </c>
      <c r="G11" s="5" t="s">
        <v>902</v>
      </c>
      <c r="H11" s="5" t="s">
        <v>258</v>
      </c>
      <c r="I11" s="5" t="s">
        <v>473</v>
      </c>
      <c r="J11" s="30" t="s">
        <v>900</v>
      </c>
    </row>
    <row r="12" customFormat="false" ht="15" hidden="false" customHeight="false" outlineLevel="0" collapsed="false">
      <c r="A12" s="5" t="s">
        <v>895</v>
      </c>
      <c r="B12" s="5" t="s">
        <v>347</v>
      </c>
      <c r="C12" s="5" t="s">
        <v>901</v>
      </c>
      <c r="D12" s="11" t="n">
        <v>2025</v>
      </c>
      <c r="E12" s="5" t="s">
        <v>898</v>
      </c>
      <c r="F12" s="40" t="n">
        <v>0.0009975</v>
      </c>
      <c r="G12" s="5" t="s">
        <v>903</v>
      </c>
      <c r="H12" s="5" t="s">
        <v>258</v>
      </c>
      <c r="I12" s="5" t="s">
        <v>476</v>
      </c>
      <c r="J12" s="30" t="s">
        <v>900</v>
      </c>
    </row>
    <row r="13" customFormat="false" ht="23.85" hidden="false" customHeight="false" outlineLevel="0" collapsed="false">
      <c r="A13" s="5" t="s">
        <v>895</v>
      </c>
      <c r="B13" s="5" t="s">
        <v>347</v>
      </c>
      <c r="C13" s="5" t="s">
        <v>901</v>
      </c>
      <c r="D13" s="11" t="n">
        <v>2025</v>
      </c>
      <c r="E13" s="5" t="s">
        <v>898</v>
      </c>
      <c r="F13" s="40" t="n">
        <v>0.001082</v>
      </c>
      <c r="G13" s="5" t="s">
        <v>904</v>
      </c>
      <c r="H13" s="5" t="s">
        <v>258</v>
      </c>
      <c r="I13" s="5" t="s">
        <v>478</v>
      </c>
      <c r="J13" s="30" t="s">
        <v>900</v>
      </c>
    </row>
    <row r="14" customFormat="false" ht="23.85" hidden="false" customHeight="false" outlineLevel="0" collapsed="false">
      <c r="A14" s="5" t="s">
        <v>895</v>
      </c>
      <c r="B14" s="5" t="s">
        <v>347</v>
      </c>
      <c r="C14" s="5" t="s">
        <v>901</v>
      </c>
      <c r="D14" s="11" t="n">
        <v>2025</v>
      </c>
      <c r="E14" s="5" t="s">
        <v>898</v>
      </c>
      <c r="F14" s="40" t="n">
        <v>0.001247</v>
      </c>
      <c r="G14" s="5" t="s">
        <v>905</v>
      </c>
      <c r="H14" s="5" t="s">
        <v>258</v>
      </c>
      <c r="I14" s="5" t="s">
        <v>480</v>
      </c>
      <c r="J14" s="30" t="s">
        <v>900</v>
      </c>
    </row>
    <row r="15" customFormat="false" ht="15" hidden="false" customHeight="false" outlineLevel="0" collapsed="false">
      <c r="A15" s="5" t="s">
        <v>895</v>
      </c>
      <c r="B15" s="5" t="s">
        <v>347</v>
      </c>
      <c r="C15" s="5" t="s">
        <v>901</v>
      </c>
      <c r="D15" s="11" t="n">
        <v>2025</v>
      </c>
      <c r="E15" s="5" t="s">
        <v>898</v>
      </c>
      <c r="F15" s="40" t="n">
        <v>0.00147</v>
      </c>
      <c r="G15" s="5" t="s">
        <v>906</v>
      </c>
      <c r="H15" s="5" t="s">
        <v>258</v>
      </c>
      <c r="I15" s="5" t="s">
        <v>482</v>
      </c>
      <c r="J15" s="30" t="s">
        <v>900</v>
      </c>
    </row>
    <row r="16" customFormat="false" ht="15" hidden="false" customHeight="false" outlineLevel="0" collapsed="false">
      <c r="A16" s="5" t="s">
        <v>895</v>
      </c>
      <c r="B16" s="5" t="s">
        <v>896</v>
      </c>
      <c r="C16" s="5" t="s">
        <v>907</v>
      </c>
      <c r="D16" s="11" t="n">
        <v>2020</v>
      </c>
      <c r="E16" s="5" t="s">
        <v>908</v>
      </c>
      <c r="F16" s="40" t="n">
        <v>4.761E-005</v>
      </c>
      <c r="G16" s="5" t="s">
        <v>909</v>
      </c>
      <c r="H16" s="5" t="s">
        <v>910</v>
      </c>
      <c r="I16" s="5" t="s">
        <v>473</v>
      </c>
      <c r="J16" s="41" t="s">
        <v>911</v>
      </c>
    </row>
    <row r="17" customFormat="false" ht="15" hidden="false" customHeight="false" outlineLevel="0" collapsed="false">
      <c r="A17" s="5" t="s">
        <v>895</v>
      </c>
      <c r="B17" s="5" t="s">
        <v>896</v>
      </c>
      <c r="C17" s="5" t="s">
        <v>907</v>
      </c>
      <c r="D17" s="11" t="n">
        <v>2020</v>
      </c>
      <c r="E17" s="5" t="s">
        <v>908</v>
      </c>
      <c r="F17" s="40" t="n">
        <v>5.674E-005</v>
      </c>
      <c r="G17" s="5" t="s">
        <v>909</v>
      </c>
      <c r="H17" s="5" t="s">
        <v>910</v>
      </c>
      <c r="I17" s="5" t="s">
        <v>476</v>
      </c>
      <c r="J17" s="41" t="s">
        <v>911</v>
      </c>
    </row>
    <row r="18" customFormat="false" ht="23.85" hidden="false" customHeight="false" outlineLevel="0" collapsed="false">
      <c r="A18" s="5" t="s">
        <v>895</v>
      </c>
      <c r="B18" s="5" t="s">
        <v>896</v>
      </c>
      <c r="C18" s="5" t="s">
        <v>907</v>
      </c>
      <c r="D18" s="11" t="n">
        <v>2020</v>
      </c>
      <c r="E18" s="5" t="s">
        <v>908</v>
      </c>
      <c r="F18" s="40" t="n">
        <v>6.155E-005</v>
      </c>
      <c r="G18" s="5" t="s">
        <v>909</v>
      </c>
      <c r="H18" s="5" t="s">
        <v>910</v>
      </c>
      <c r="I18" s="5" t="s">
        <v>478</v>
      </c>
      <c r="J18" s="41" t="s">
        <v>911</v>
      </c>
    </row>
    <row r="19" customFormat="false" ht="23.85" hidden="false" customHeight="false" outlineLevel="0" collapsed="false">
      <c r="A19" s="5" t="s">
        <v>895</v>
      </c>
      <c r="B19" s="5" t="s">
        <v>896</v>
      </c>
      <c r="C19" s="5" t="s">
        <v>907</v>
      </c>
      <c r="D19" s="11" t="n">
        <v>2020</v>
      </c>
      <c r="E19" s="5" t="s">
        <v>908</v>
      </c>
      <c r="F19" s="40" t="n">
        <v>7.095E-005</v>
      </c>
      <c r="G19" s="5" t="s">
        <v>909</v>
      </c>
      <c r="H19" s="5" t="s">
        <v>910</v>
      </c>
      <c r="I19" s="5" t="s">
        <v>480</v>
      </c>
      <c r="J19" s="41" t="s">
        <v>911</v>
      </c>
    </row>
    <row r="20" customFormat="false" ht="15" hidden="false" customHeight="false" outlineLevel="0" collapsed="false">
      <c r="A20" s="5" t="s">
        <v>895</v>
      </c>
      <c r="B20" s="5" t="s">
        <v>896</v>
      </c>
      <c r="C20" s="5" t="s">
        <v>907</v>
      </c>
      <c r="D20" s="11" t="n">
        <v>2020</v>
      </c>
      <c r="E20" s="5" t="s">
        <v>908</v>
      </c>
      <c r="F20" s="40" t="n">
        <v>8.361E-005</v>
      </c>
      <c r="G20" s="5" t="s">
        <v>909</v>
      </c>
      <c r="H20" s="5" t="s">
        <v>910</v>
      </c>
      <c r="I20" s="5" t="s">
        <v>482</v>
      </c>
      <c r="J20" s="41" t="s">
        <v>911</v>
      </c>
    </row>
    <row r="21" customFormat="false" ht="15" hidden="false" customHeight="false" outlineLevel="0" collapsed="false">
      <c r="A21" s="5" t="s">
        <v>895</v>
      </c>
      <c r="B21" s="5" t="s">
        <v>318</v>
      </c>
      <c r="C21" s="5" t="s">
        <v>912</v>
      </c>
      <c r="D21" s="11" t="n">
        <v>2025</v>
      </c>
      <c r="E21" s="5" t="s">
        <v>908</v>
      </c>
      <c r="F21" s="40" t="n">
        <v>5.119E-005</v>
      </c>
      <c r="G21" s="5" t="s">
        <v>913</v>
      </c>
      <c r="H21" s="5" t="s">
        <v>440</v>
      </c>
      <c r="I21" s="5" t="s">
        <v>473</v>
      </c>
      <c r="J21" s="30" t="s">
        <v>900</v>
      </c>
    </row>
    <row r="22" customFormat="false" ht="15" hidden="false" customHeight="false" outlineLevel="0" collapsed="false">
      <c r="A22" s="5" t="s">
        <v>895</v>
      </c>
      <c r="B22" s="5" t="s">
        <v>318</v>
      </c>
      <c r="C22" s="5" t="s">
        <v>912</v>
      </c>
      <c r="D22" s="11" t="n">
        <v>2025</v>
      </c>
      <c r="E22" s="5" t="s">
        <v>908</v>
      </c>
      <c r="F22" s="40" t="n">
        <v>6.101E-005</v>
      </c>
      <c r="G22" s="5" t="s">
        <v>913</v>
      </c>
      <c r="H22" s="5" t="s">
        <v>440</v>
      </c>
      <c r="I22" s="5" t="s">
        <v>476</v>
      </c>
      <c r="J22" s="30" t="s">
        <v>900</v>
      </c>
    </row>
    <row r="23" customFormat="false" ht="23.85" hidden="false" customHeight="false" outlineLevel="0" collapsed="false">
      <c r="A23" s="5" t="s">
        <v>895</v>
      </c>
      <c r="B23" s="5" t="s">
        <v>318</v>
      </c>
      <c r="C23" s="5" t="s">
        <v>912</v>
      </c>
      <c r="D23" s="11" t="n">
        <v>2025</v>
      </c>
      <c r="E23" s="5" t="s">
        <v>908</v>
      </c>
      <c r="F23" s="40" t="n">
        <v>6.619E-005</v>
      </c>
      <c r="G23" s="5" t="s">
        <v>913</v>
      </c>
      <c r="H23" s="5" t="s">
        <v>440</v>
      </c>
      <c r="I23" s="5" t="s">
        <v>478</v>
      </c>
      <c r="J23" s="30" t="s">
        <v>900</v>
      </c>
    </row>
    <row r="24" customFormat="false" ht="23.85" hidden="false" customHeight="false" outlineLevel="0" collapsed="false">
      <c r="A24" s="5" t="s">
        <v>895</v>
      </c>
      <c r="B24" s="5" t="s">
        <v>318</v>
      </c>
      <c r="C24" s="5" t="s">
        <v>912</v>
      </c>
      <c r="D24" s="11" t="n">
        <v>2025</v>
      </c>
      <c r="E24" s="5" t="s">
        <v>908</v>
      </c>
      <c r="F24" s="40" t="n">
        <v>7.628E-005</v>
      </c>
      <c r="G24" s="5" t="s">
        <v>913</v>
      </c>
      <c r="H24" s="5" t="s">
        <v>440</v>
      </c>
      <c r="I24" s="5" t="s">
        <v>480</v>
      </c>
      <c r="J24" s="30" t="s">
        <v>900</v>
      </c>
    </row>
    <row r="25" customFormat="false" ht="15" hidden="false" customHeight="false" outlineLevel="0" collapsed="false">
      <c r="A25" s="5" t="s">
        <v>895</v>
      </c>
      <c r="B25" s="5" t="s">
        <v>318</v>
      </c>
      <c r="C25" s="5" t="s">
        <v>912</v>
      </c>
      <c r="D25" s="11" t="n">
        <v>2025</v>
      </c>
      <c r="E25" s="5" t="s">
        <v>908</v>
      </c>
      <c r="F25" s="40" t="n">
        <v>8.99E-005</v>
      </c>
      <c r="G25" s="5" t="s">
        <v>913</v>
      </c>
      <c r="H25" s="5" t="s">
        <v>440</v>
      </c>
      <c r="I25" s="5" t="s">
        <v>482</v>
      </c>
      <c r="J25" s="30" t="s">
        <v>900</v>
      </c>
    </row>
    <row r="26" customFormat="false" ht="15" hidden="false" customHeight="false" outlineLevel="0" collapsed="false">
      <c r="A26" s="5" t="s">
        <v>895</v>
      </c>
      <c r="B26" s="5" t="s">
        <v>347</v>
      </c>
      <c r="C26" s="5" t="s">
        <v>914</v>
      </c>
      <c r="D26" s="11" t="n">
        <v>2025</v>
      </c>
      <c r="E26" s="5" t="s">
        <v>908</v>
      </c>
      <c r="F26" s="40" t="n">
        <v>0.0001488</v>
      </c>
      <c r="G26" s="5" t="s">
        <v>915</v>
      </c>
      <c r="H26" s="5" t="s">
        <v>258</v>
      </c>
      <c r="I26" s="5" t="s">
        <v>473</v>
      </c>
      <c r="J26" s="30" t="s">
        <v>900</v>
      </c>
    </row>
    <row r="27" customFormat="false" ht="15" hidden="false" customHeight="false" outlineLevel="0" collapsed="false">
      <c r="A27" s="5" t="s">
        <v>895</v>
      </c>
      <c r="B27" s="5" t="s">
        <v>347</v>
      </c>
      <c r="C27" s="5" t="s">
        <v>914</v>
      </c>
      <c r="D27" s="11" t="n">
        <v>2025</v>
      </c>
      <c r="E27" s="5" t="s">
        <v>908</v>
      </c>
      <c r="F27" s="40" t="n">
        <v>0.0001773</v>
      </c>
      <c r="G27" s="5" t="s">
        <v>915</v>
      </c>
      <c r="H27" s="5" t="s">
        <v>258</v>
      </c>
      <c r="I27" s="5" t="s">
        <v>476</v>
      </c>
      <c r="J27" s="30" t="s">
        <v>900</v>
      </c>
    </row>
    <row r="28" customFormat="false" ht="23.85" hidden="false" customHeight="false" outlineLevel="0" collapsed="false">
      <c r="A28" s="5" t="s">
        <v>895</v>
      </c>
      <c r="B28" s="5" t="s">
        <v>347</v>
      </c>
      <c r="C28" s="5" t="s">
        <v>914</v>
      </c>
      <c r="D28" s="11" t="n">
        <v>2025</v>
      </c>
      <c r="E28" s="5" t="s">
        <v>908</v>
      </c>
      <c r="F28" s="40" t="n">
        <v>0.0001923</v>
      </c>
      <c r="G28" s="5" t="s">
        <v>915</v>
      </c>
      <c r="H28" s="5" t="s">
        <v>258</v>
      </c>
      <c r="I28" s="5" t="s">
        <v>478</v>
      </c>
      <c r="J28" s="30" t="s">
        <v>900</v>
      </c>
    </row>
    <row r="29" customFormat="false" ht="23.85" hidden="false" customHeight="false" outlineLevel="0" collapsed="false">
      <c r="A29" s="5" t="s">
        <v>895</v>
      </c>
      <c r="B29" s="5" t="s">
        <v>347</v>
      </c>
      <c r="C29" s="5" t="s">
        <v>914</v>
      </c>
      <c r="D29" s="11" t="n">
        <v>2025</v>
      </c>
      <c r="E29" s="5" t="s">
        <v>908</v>
      </c>
      <c r="F29" s="40" t="n">
        <v>0.0002217</v>
      </c>
      <c r="G29" s="5" t="s">
        <v>915</v>
      </c>
      <c r="H29" s="5" t="s">
        <v>258</v>
      </c>
      <c r="I29" s="5" t="s">
        <v>480</v>
      </c>
      <c r="J29" s="30" t="s">
        <v>900</v>
      </c>
    </row>
    <row r="30" customFormat="false" ht="15" hidden="false" customHeight="false" outlineLevel="0" collapsed="false">
      <c r="A30" s="5" t="s">
        <v>895</v>
      </c>
      <c r="B30" s="5" t="s">
        <v>347</v>
      </c>
      <c r="C30" s="5" t="s">
        <v>914</v>
      </c>
      <c r="D30" s="11" t="n">
        <v>2025</v>
      </c>
      <c r="E30" s="5" t="s">
        <v>908</v>
      </c>
      <c r="F30" s="40" t="n">
        <v>0.0002613</v>
      </c>
      <c r="G30" s="5" t="s">
        <v>915</v>
      </c>
      <c r="H30" s="5" t="s">
        <v>258</v>
      </c>
      <c r="I30" s="5" t="s">
        <v>482</v>
      </c>
      <c r="J30" s="30" t="s">
        <v>900</v>
      </c>
    </row>
    <row r="31" customFormat="false" ht="15" hidden="false" customHeight="false" outlineLevel="0" collapsed="false">
      <c r="A31" s="5" t="s">
        <v>895</v>
      </c>
      <c r="B31" s="5" t="s">
        <v>326</v>
      </c>
      <c r="C31" s="5" t="s">
        <v>916</v>
      </c>
      <c r="D31" s="11" t="n">
        <v>2028</v>
      </c>
      <c r="E31" s="5" t="s">
        <v>908</v>
      </c>
      <c r="F31" s="40" t="n">
        <v>0.0001058</v>
      </c>
      <c r="G31" s="5" t="s">
        <v>917</v>
      </c>
      <c r="H31" s="5" t="s">
        <v>918</v>
      </c>
      <c r="I31" s="5" t="s">
        <v>473</v>
      </c>
      <c r="J31" s="30" t="s">
        <v>900</v>
      </c>
    </row>
    <row r="32" customFormat="false" ht="15" hidden="false" customHeight="false" outlineLevel="0" collapsed="false">
      <c r="A32" s="5" t="s">
        <v>895</v>
      </c>
      <c r="B32" s="5" t="s">
        <v>326</v>
      </c>
      <c r="C32" s="5" t="s">
        <v>916</v>
      </c>
      <c r="D32" s="11" t="n">
        <v>2028</v>
      </c>
      <c r="E32" s="5" t="s">
        <v>908</v>
      </c>
      <c r="F32" s="40" t="n">
        <v>0.0001261</v>
      </c>
      <c r="G32" s="5" t="s">
        <v>917</v>
      </c>
      <c r="H32" s="5" t="s">
        <v>918</v>
      </c>
      <c r="I32" s="5" t="s">
        <v>476</v>
      </c>
      <c r="J32" s="30" t="s">
        <v>900</v>
      </c>
    </row>
    <row r="33" customFormat="false" ht="23.85" hidden="false" customHeight="false" outlineLevel="0" collapsed="false">
      <c r="A33" s="5" t="s">
        <v>895</v>
      </c>
      <c r="B33" s="5" t="s">
        <v>326</v>
      </c>
      <c r="C33" s="5" t="s">
        <v>916</v>
      </c>
      <c r="D33" s="11" t="n">
        <v>2028</v>
      </c>
      <c r="E33" s="5" t="s">
        <v>908</v>
      </c>
      <c r="F33" s="40" t="n">
        <v>0.0001368</v>
      </c>
      <c r="G33" s="5" t="s">
        <v>917</v>
      </c>
      <c r="H33" s="5" t="s">
        <v>918</v>
      </c>
      <c r="I33" s="5" t="s">
        <v>478</v>
      </c>
      <c r="J33" s="30" t="s">
        <v>900</v>
      </c>
    </row>
    <row r="34" customFormat="false" ht="23.85" hidden="false" customHeight="false" outlineLevel="0" collapsed="false">
      <c r="A34" s="5" t="s">
        <v>895</v>
      </c>
      <c r="B34" s="5" t="s">
        <v>326</v>
      </c>
      <c r="C34" s="5" t="s">
        <v>916</v>
      </c>
      <c r="D34" s="11" t="n">
        <v>2028</v>
      </c>
      <c r="E34" s="5" t="s">
        <v>908</v>
      </c>
      <c r="F34" s="40" t="n">
        <v>0.0001577</v>
      </c>
      <c r="G34" s="5" t="s">
        <v>917</v>
      </c>
      <c r="H34" s="5" t="s">
        <v>918</v>
      </c>
      <c r="I34" s="5" t="s">
        <v>480</v>
      </c>
      <c r="J34" s="30" t="s">
        <v>900</v>
      </c>
    </row>
    <row r="35" customFormat="false" ht="15" hidden="false" customHeight="false" outlineLevel="0" collapsed="false">
      <c r="A35" s="5" t="s">
        <v>895</v>
      </c>
      <c r="B35" s="5" t="s">
        <v>326</v>
      </c>
      <c r="C35" s="5" t="s">
        <v>916</v>
      </c>
      <c r="D35" s="11" t="n">
        <v>2028</v>
      </c>
      <c r="E35" s="5" t="s">
        <v>908</v>
      </c>
      <c r="F35" s="40" t="n">
        <v>0.0001858</v>
      </c>
      <c r="G35" s="5" t="s">
        <v>917</v>
      </c>
      <c r="H35" s="5" t="s">
        <v>918</v>
      </c>
      <c r="I35" s="5" t="s">
        <v>482</v>
      </c>
      <c r="J35" s="30" t="s">
        <v>900</v>
      </c>
    </row>
    <row r="38" customFormat="false" ht="15" hidden="false" customHeight="false" outlineLevel="0" collapsed="false">
      <c r="A38" s="6" t="s">
        <v>919</v>
      </c>
      <c r="B38" s="6"/>
      <c r="C38" s="6"/>
      <c r="D38" s="6"/>
      <c r="E38" s="6"/>
      <c r="F38" s="6"/>
      <c r="G38" s="6"/>
      <c r="H38" s="6"/>
      <c r="I38" s="6"/>
      <c r="J38" s="6"/>
    </row>
    <row r="39" customFormat="false" ht="23.85" hidden="false" customHeight="false" outlineLevel="0" collapsed="false">
      <c r="A39" s="7" t="s">
        <v>885</v>
      </c>
      <c r="B39" s="7" t="s">
        <v>886</v>
      </c>
      <c r="C39" s="7" t="s">
        <v>887</v>
      </c>
      <c r="D39" s="7" t="s">
        <v>888</v>
      </c>
      <c r="E39" s="7" t="s">
        <v>889</v>
      </c>
      <c r="F39" s="7" t="s">
        <v>920</v>
      </c>
      <c r="G39" s="7" t="s">
        <v>921</v>
      </c>
      <c r="H39" s="7" t="s">
        <v>922</v>
      </c>
      <c r="I39" s="7" t="s">
        <v>923</v>
      </c>
      <c r="J39" s="7" t="s">
        <v>894</v>
      </c>
    </row>
    <row r="40" customFormat="false" ht="15" hidden="false" customHeight="false" outlineLevel="0" collapsed="false">
      <c r="A40" s="5" t="s">
        <v>895</v>
      </c>
      <c r="B40" s="5" t="s">
        <v>924</v>
      </c>
      <c r="C40" s="5" t="s">
        <v>925</v>
      </c>
      <c r="D40" s="11" t="n">
        <v>2006</v>
      </c>
      <c r="E40" s="5" t="s">
        <v>926</v>
      </c>
      <c r="F40" s="42" t="n">
        <v>0.002531</v>
      </c>
      <c r="G40" s="42" t="n">
        <v>0.0008217</v>
      </c>
      <c r="H40" s="42" t="n">
        <v>0.000172</v>
      </c>
      <c r="I40" s="5" t="s">
        <v>927</v>
      </c>
      <c r="J40" s="41" t="s">
        <v>911</v>
      </c>
    </row>
    <row r="41" customFormat="false" ht="15" hidden="false" customHeight="false" outlineLevel="0" collapsed="false">
      <c r="A41" s="5" t="s">
        <v>895</v>
      </c>
      <c r="B41" s="5" t="s">
        <v>928</v>
      </c>
      <c r="C41" s="5" t="s">
        <v>925</v>
      </c>
      <c r="D41" s="11" t="n">
        <v>2006</v>
      </c>
      <c r="E41" s="5" t="s">
        <v>926</v>
      </c>
      <c r="F41" s="42" t="n">
        <v>0.002757</v>
      </c>
      <c r="G41" s="42" t="n">
        <v>0.0008952</v>
      </c>
      <c r="H41" s="42" t="n">
        <v>0.000171</v>
      </c>
      <c r="I41" s="5" t="s">
        <v>59</v>
      </c>
      <c r="J41" s="41" t="s">
        <v>911</v>
      </c>
    </row>
    <row r="42" customFormat="false" ht="15" hidden="false" customHeight="false" outlineLevel="0" collapsed="false">
      <c r="A42" s="5" t="s">
        <v>895</v>
      </c>
      <c r="B42" s="5" t="s">
        <v>924</v>
      </c>
      <c r="C42" s="5" t="s">
        <v>929</v>
      </c>
      <c r="D42" s="11" t="n">
        <v>2007</v>
      </c>
      <c r="E42" s="5" t="s">
        <v>926</v>
      </c>
      <c r="F42" s="42" t="n">
        <v>0.002531</v>
      </c>
      <c r="G42" s="42" t="n">
        <v>0.0008217</v>
      </c>
      <c r="H42" s="42" t="n">
        <v>0.000175</v>
      </c>
      <c r="I42" s="5" t="s">
        <v>930</v>
      </c>
      <c r="J42" s="41" t="s">
        <v>911</v>
      </c>
    </row>
    <row r="43" customFormat="false" ht="15" hidden="false" customHeight="false" outlineLevel="0" collapsed="false">
      <c r="A43" s="5" t="s">
        <v>895</v>
      </c>
      <c r="B43" s="5" t="s">
        <v>928</v>
      </c>
      <c r="C43" s="5" t="s">
        <v>931</v>
      </c>
      <c r="D43" s="11" t="n">
        <v>2007</v>
      </c>
      <c r="E43" s="5" t="s">
        <v>926</v>
      </c>
      <c r="F43" s="42" t="n">
        <v>0.002757</v>
      </c>
      <c r="G43" s="42" t="n">
        <v>0.0008952</v>
      </c>
      <c r="H43" s="42" t="n">
        <v>0.000171</v>
      </c>
      <c r="I43" s="5" t="s">
        <v>59</v>
      </c>
      <c r="J43" s="41" t="s">
        <v>911</v>
      </c>
    </row>
    <row r="44" customFormat="false" ht="15" hidden="false" customHeight="false" outlineLevel="0" collapsed="false">
      <c r="A44" s="5" t="s">
        <v>895</v>
      </c>
      <c r="B44" s="5" t="s">
        <v>932</v>
      </c>
      <c r="C44" s="5" t="s">
        <v>933</v>
      </c>
      <c r="D44" s="11" t="n">
        <v>2025</v>
      </c>
      <c r="E44" s="5" t="s">
        <v>926</v>
      </c>
      <c r="F44" s="42" t="n">
        <v>0.003002</v>
      </c>
      <c r="G44" s="42" t="n">
        <v>0.0009747</v>
      </c>
      <c r="H44" s="42" t="n">
        <v>8.91E-005</v>
      </c>
      <c r="I44" s="5" t="s">
        <v>62</v>
      </c>
      <c r="J44" s="41" t="s">
        <v>911</v>
      </c>
    </row>
    <row r="45" customFormat="false" ht="15" hidden="false" customHeight="false" outlineLevel="0" collapsed="false">
      <c r="A45" s="5" t="s">
        <v>895</v>
      </c>
      <c r="B45" s="5" t="s">
        <v>932</v>
      </c>
      <c r="C45" s="5" t="s">
        <v>933</v>
      </c>
      <c r="D45" s="11" t="n">
        <v>2050</v>
      </c>
      <c r="E45" s="5" t="s">
        <v>926</v>
      </c>
      <c r="F45" s="42" t="n">
        <v>0.003152</v>
      </c>
      <c r="G45" s="42" t="n">
        <v>0.001023</v>
      </c>
      <c r="H45" s="42" t="n">
        <v>9.35E-005</v>
      </c>
      <c r="I45" s="5" t="s">
        <v>62</v>
      </c>
      <c r="J45" s="41" t="s">
        <v>911</v>
      </c>
    </row>
    <row r="46" customFormat="false" ht="15" hidden="false" customHeight="false" outlineLevel="0" collapsed="false">
      <c r="A46" s="5" t="s">
        <v>895</v>
      </c>
      <c r="B46" s="5" t="s">
        <v>934</v>
      </c>
      <c r="C46" s="5" t="s">
        <v>935</v>
      </c>
      <c r="D46" s="11" t="n">
        <v>2030</v>
      </c>
      <c r="E46" s="5" t="s">
        <v>926</v>
      </c>
      <c r="F46" s="42" t="n">
        <v>0.002715</v>
      </c>
      <c r="G46" s="42" t="n">
        <v>0.0008816</v>
      </c>
      <c r="H46" s="42" t="n">
        <v>0.000162</v>
      </c>
      <c r="I46" s="5" t="s">
        <v>936</v>
      </c>
      <c r="J46" s="41" t="s">
        <v>911</v>
      </c>
    </row>
    <row r="47" customFormat="false" ht="15" hidden="false" customHeight="false" outlineLevel="0" collapsed="false">
      <c r="A47" s="5" t="s">
        <v>895</v>
      </c>
      <c r="B47" s="5" t="s">
        <v>934</v>
      </c>
      <c r="C47" s="5" t="s">
        <v>935</v>
      </c>
      <c r="D47" s="11" t="n">
        <v>2050</v>
      </c>
      <c r="E47" s="5" t="s">
        <v>926</v>
      </c>
      <c r="F47" s="42" t="n">
        <v>0.00353</v>
      </c>
      <c r="G47" s="42" t="n">
        <v>0.001146</v>
      </c>
      <c r="H47" s="42" t="n">
        <v>0.000211</v>
      </c>
      <c r="I47" s="5" t="s">
        <v>937</v>
      </c>
      <c r="J47" s="41" t="s">
        <v>911</v>
      </c>
    </row>
    <row r="48" customFormat="false" ht="15" hidden="false" customHeight="false" outlineLevel="0" collapsed="false">
      <c r="A48" s="5" t="s">
        <v>895</v>
      </c>
      <c r="B48" s="5" t="s">
        <v>938</v>
      </c>
      <c r="C48" s="5" t="s">
        <v>939</v>
      </c>
      <c r="D48" s="11" t="n">
        <v>2030</v>
      </c>
      <c r="E48" s="5" t="s">
        <v>926</v>
      </c>
      <c r="F48" s="42" t="n">
        <v>0.002421</v>
      </c>
      <c r="G48" s="42" t="n">
        <v>0.000786</v>
      </c>
      <c r="H48" s="42" t="n">
        <v>0.00016</v>
      </c>
      <c r="I48" s="5" t="s">
        <v>940</v>
      </c>
      <c r="J48" s="41" t="s">
        <v>911</v>
      </c>
    </row>
    <row r="49" customFormat="false" ht="15" hidden="false" customHeight="false" outlineLevel="0" collapsed="false">
      <c r="A49" s="5" t="s">
        <v>895</v>
      </c>
      <c r="B49" s="5" t="s">
        <v>938</v>
      </c>
      <c r="C49" s="5" t="s">
        <v>939</v>
      </c>
      <c r="D49" s="11" t="n">
        <v>2050</v>
      </c>
      <c r="E49" s="5" t="s">
        <v>926</v>
      </c>
      <c r="F49" s="42" t="n">
        <v>0.003026</v>
      </c>
      <c r="G49" s="42" t="n">
        <v>0.0009825</v>
      </c>
      <c r="H49" s="42" t="n">
        <v>0.0002</v>
      </c>
      <c r="I49" s="5" t="s">
        <v>940</v>
      </c>
      <c r="J49" s="41" t="s">
        <v>911</v>
      </c>
    </row>
    <row r="50" customFormat="false" ht="15" hidden="false" customHeight="false" outlineLevel="0" collapsed="false">
      <c r="A50" s="5" t="s">
        <v>895</v>
      </c>
      <c r="B50" s="5" t="s">
        <v>941</v>
      </c>
      <c r="C50" s="5" t="s">
        <v>942</v>
      </c>
      <c r="D50" s="11" t="n">
        <v>2030</v>
      </c>
      <c r="E50" s="5" t="s">
        <v>926</v>
      </c>
      <c r="F50" s="42" t="n">
        <v>0.001001</v>
      </c>
      <c r="G50" s="42" t="n">
        <v>0.0003249</v>
      </c>
      <c r="H50" s="42" t="n">
        <v>1.5E-005</v>
      </c>
      <c r="I50" s="5" t="s">
        <v>943</v>
      </c>
      <c r="J50" s="41" t="s">
        <v>911</v>
      </c>
    </row>
    <row r="51" customFormat="false" ht="15" hidden="false" customHeight="false" outlineLevel="0" collapsed="false">
      <c r="A51" s="5" t="s">
        <v>895</v>
      </c>
      <c r="B51" s="5" t="s">
        <v>941</v>
      </c>
      <c r="C51" s="5" t="s">
        <v>942</v>
      </c>
      <c r="D51" s="11" t="n">
        <v>2050</v>
      </c>
      <c r="E51" s="5" t="s">
        <v>926</v>
      </c>
      <c r="F51" s="42" t="n">
        <v>0.001251</v>
      </c>
      <c r="G51" s="42" t="n">
        <v>0.0004061</v>
      </c>
      <c r="H51" s="42" t="n">
        <v>1.88E-005</v>
      </c>
      <c r="I51" s="5" t="s">
        <v>944</v>
      </c>
      <c r="J51" s="41" t="s">
        <v>911</v>
      </c>
    </row>
    <row r="52" customFormat="false" ht="15" hidden="false" customHeight="false" outlineLevel="0" collapsed="false">
      <c r="A52" s="5" t="s">
        <v>895</v>
      </c>
      <c r="B52" s="5" t="s">
        <v>928</v>
      </c>
      <c r="C52" s="5" t="s">
        <v>945</v>
      </c>
      <c r="D52" s="11" t="n">
        <v>2025</v>
      </c>
      <c r="E52" s="5" t="s">
        <v>926</v>
      </c>
      <c r="F52" s="42" t="n">
        <v>0.002414</v>
      </c>
      <c r="G52" s="42" t="n">
        <v>0.0007837</v>
      </c>
      <c r="H52" s="42" t="n">
        <v>0.000166</v>
      </c>
      <c r="I52" s="5" t="s">
        <v>930</v>
      </c>
      <c r="J52" s="41" t="s">
        <v>911</v>
      </c>
    </row>
    <row r="53" customFormat="false" ht="15" hidden="false" customHeight="false" outlineLevel="0" collapsed="false">
      <c r="A53" s="5" t="s">
        <v>895</v>
      </c>
      <c r="B53" s="5" t="s">
        <v>934</v>
      </c>
      <c r="C53" s="5" t="s">
        <v>945</v>
      </c>
      <c r="D53" s="11" t="n">
        <v>2025</v>
      </c>
      <c r="E53" s="5" t="s">
        <v>926</v>
      </c>
      <c r="F53" s="42" t="n">
        <v>0.002414</v>
      </c>
      <c r="G53" s="42" t="n">
        <v>0.0007837</v>
      </c>
      <c r="H53" s="42" t="n">
        <v>0.000166</v>
      </c>
      <c r="I53" s="5" t="s">
        <v>930</v>
      </c>
      <c r="J53" s="41" t="s">
        <v>911</v>
      </c>
    </row>
    <row r="56" customFormat="false" ht="15" hidden="false" customHeight="false" outlineLevel="0" collapsed="false">
      <c r="A56" s="6" t="s">
        <v>946</v>
      </c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true" outlineLevel="0" collapsed="false">
      <c r="A57" s="43" t="s">
        <v>947</v>
      </c>
      <c r="B57" s="43"/>
      <c r="C57" s="43"/>
      <c r="D57" s="43"/>
      <c r="E57" s="43"/>
      <c r="F57" s="43"/>
      <c r="G57" s="43"/>
      <c r="H57" s="43"/>
      <c r="I57" s="43"/>
      <c r="J57" s="43"/>
    </row>
    <row r="58" customFormat="false" ht="15" hidden="false" customHeight="true" outlineLevel="0" collapsed="false">
      <c r="A58" s="43" t="s">
        <v>948</v>
      </c>
      <c r="B58" s="43"/>
      <c r="C58" s="43"/>
      <c r="D58" s="43"/>
      <c r="E58" s="43"/>
      <c r="F58" s="43"/>
      <c r="G58" s="43"/>
      <c r="H58" s="43"/>
      <c r="I58" s="43"/>
      <c r="J58" s="43"/>
    </row>
    <row r="59" customFormat="false" ht="15" hidden="false" customHeight="true" outlineLevel="0" collapsed="false">
      <c r="A59" s="43" t="s">
        <v>949</v>
      </c>
      <c r="B59" s="43"/>
      <c r="C59" s="43"/>
      <c r="D59" s="43"/>
      <c r="E59" s="43"/>
      <c r="F59" s="43"/>
      <c r="G59" s="43"/>
      <c r="H59" s="43"/>
      <c r="I59" s="43"/>
      <c r="J59" s="43"/>
    </row>
    <row r="60" customFormat="false" ht="15" hidden="false" customHeight="true" outlineLevel="0" collapsed="false">
      <c r="A60" s="43" t="s">
        <v>950</v>
      </c>
      <c r="B60" s="43"/>
      <c r="C60" s="43"/>
      <c r="D60" s="43"/>
      <c r="E60" s="43"/>
      <c r="F60" s="43"/>
      <c r="G60" s="43"/>
      <c r="H60" s="43"/>
      <c r="I60" s="43"/>
      <c r="J60" s="43"/>
    </row>
    <row r="61" customFormat="false" ht="15" hidden="false" customHeight="true" outlineLevel="0" collapsed="false">
      <c r="A61" s="43" t="s">
        <v>947</v>
      </c>
      <c r="B61" s="43"/>
      <c r="C61" s="43"/>
      <c r="D61" s="43"/>
      <c r="E61" s="43"/>
      <c r="F61" s="43"/>
      <c r="G61" s="43"/>
      <c r="H61" s="43"/>
      <c r="I61" s="43"/>
      <c r="J61" s="43"/>
    </row>
    <row r="62" customFormat="false" ht="15" hidden="false" customHeight="true" outlineLevel="0" collapsed="false">
      <c r="A62" s="44" t="s">
        <v>951</v>
      </c>
      <c r="B62" s="44"/>
      <c r="C62" s="44"/>
      <c r="D62" s="44"/>
      <c r="E62" s="44"/>
      <c r="F62" s="44"/>
      <c r="G62" s="44"/>
      <c r="H62" s="44"/>
      <c r="I62" s="44"/>
      <c r="J62" s="44"/>
    </row>
    <row r="63" customFormat="false" ht="15" hidden="false" customHeight="false" outlineLevel="0" collapsed="false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customFormat="false" ht="15" hidden="false" customHeight="true" outlineLevel="0" collapsed="false">
      <c r="A64" s="43" t="s">
        <v>952</v>
      </c>
      <c r="B64" s="43"/>
      <c r="C64" s="43"/>
      <c r="D64" s="43"/>
      <c r="E64" s="43"/>
      <c r="F64" s="43"/>
      <c r="G64" s="43"/>
      <c r="H64" s="43"/>
      <c r="I64" s="43"/>
      <c r="J64" s="43"/>
    </row>
    <row r="65" customFormat="false" ht="15" hidden="false" customHeight="true" outlineLevel="0" collapsed="false">
      <c r="A65" s="43" t="s">
        <v>953</v>
      </c>
      <c r="B65" s="43"/>
      <c r="C65" s="43"/>
      <c r="D65" s="43"/>
      <c r="E65" s="43"/>
      <c r="F65" s="43"/>
      <c r="G65" s="43"/>
      <c r="H65" s="43"/>
      <c r="I65" s="43"/>
      <c r="J65" s="43"/>
    </row>
    <row r="66" customFormat="false" ht="1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customFormat="false" ht="15" hidden="false" customHeight="true" outlineLevel="0" collapsed="false">
      <c r="A67" s="43" t="s">
        <v>954</v>
      </c>
      <c r="B67" s="43"/>
      <c r="C67" s="43"/>
      <c r="D67" s="43"/>
      <c r="E67" s="43"/>
      <c r="F67" s="43"/>
      <c r="G67" s="43"/>
      <c r="H67" s="43"/>
      <c r="I67" s="43"/>
      <c r="J67" s="43"/>
    </row>
    <row r="68" customFormat="false" ht="15" hidden="false" customHeight="true" outlineLevel="0" collapsed="false">
      <c r="A68" s="43" t="s">
        <v>955</v>
      </c>
      <c r="B68" s="43"/>
      <c r="C68" s="43"/>
      <c r="D68" s="43"/>
      <c r="E68" s="43"/>
      <c r="F68" s="43"/>
      <c r="G68" s="43"/>
      <c r="H68" s="43"/>
      <c r="I68" s="43"/>
      <c r="J68" s="43"/>
    </row>
    <row r="69" customFormat="false" ht="15" hidden="false" customHeight="true" outlineLevel="0" collapsed="false">
      <c r="A69" s="43" t="s">
        <v>956</v>
      </c>
      <c r="B69" s="43"/>
      <c r="C69" s="43"/>
      <c r="D69" s="43"/>
      <c r="E69" s="43"/>
      <c r="F69" s="43"/>
      <c r="G69" s="43"/>
      <c r="H69" s="43"/>
      <c r="I69" s="43"/>
      <c r="J69" s="43"/>
    </row>
    <row r="70" customFormat="false" ht="1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customFormat="false" ht="15" hidden="false" customHeight="true" outlineLevel="0" collapsed="false">
      <c r="A71" s="44" t="s">
        <v>957</v>
      </c>
      <c r="B71" s="44"/>
      <c r="C71" s="44"/>
      <c r="D71" s="44"/>
      <c r="E71" s="44"/>
      <c r="F71" s="44"/>
      <c r="G71" s="44"/>
      <c r="H71" s="44"/>
      <c r="I71" s="44"/>
      <c r="J71" s="44"/>
    </row>
    <row r="72" customFormat="false" ht="15" hidden="false" customHeight="true" outlineLevel="0" collapsed="false">
      <c r="A72" s="44" t="s">
        <v>958</v>
      </c>
      <c r="B72" s="44"/>
      <c r="C72" s="44"/>
      <c r="D72" s="44"/>
      <c r="E72" s="44"/>
      <c r="F72" s="44"/>
      <c r="G72" s="44"/>
      <c r="H72" s="44"/>
      <c r="I72" s="44"/>
      <c r="J72" s="44"/>
    </row>
    <row r="73" customFormat="false" ht="15" hidden="false" customHeight="true" outlineLevel="0" collapsed="false">
      <c r="A73" s="44" t="s">
        <v>959</v>
      </c>
      <c r="B73" s="44"/>
      <c r="C73" s="44"/>
      <c r="D73" s="44"/>
      <c r="E73" s="44"/>
      <c r="F73" s="44"/>
      <c r="G73" s="44"/>
      <c r="H73" s="44"/>
      <c r="I73" s="44"/>
      <c r="J73" s="44"/>
    </row>
    <row r="74" customFormat="false" ht="15" hidden="false" customHeight="true" outlineLevel="0" collapsed="false">
      <c r="A74" s="44" t="s">
        <v>960</v>
      </c>
      <c r="B74" s="44"/>
      <c r="C74" s="44"/>
      <c r="D74" s="44"/>
      <c r="E74" s="44"/>
      <c r="F74" s="44"/>
      <c r="G74" s="44"/>
      <c r="H74" s="44"/>
      <c r="I74" s="44"/>
      <c r="J74" s="44"/>
    </row>
    <row r="75" customFormat="false" ht="15" hidden="false" customHeight="true" outlineLevel="0" collapsed="false">
      <c r="A75" s="44" t="s">
        <v>957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4" t="s">
        <v>961</v>
      </c>
      <c r="B76" s="44"/>
      <c r="C76" s="44"/>
      <c r="D76" s="44"/>
      <c r="E76" s="44"/>
      <c r="F76" s="44"/>
      <c r="G76" s="44"/>
      <c r="H76" s="44"/>
      <c r="I76" s="44"/>
      <c r="J76" s="44"/>
    </row>
    <row r="77" customFormat="false" ht="15" hidden="false" customHeight="true" outlineLevel="0" collapsed="false">
      <c r="A77" s="44" t="s">
        <v>959</v>
      </c>
      <c r="B77" s="44"/>
      <c r="C77" s="44"/>
      <c r="D77" s="44"/>
      <c r="E77" s="44"/>
      <c r="F77" s="44"/>
      <c r="G77" s="44"/>
      <c r="H77" s="44"/>
      <c r="I77" s="44"/>
      <c r="J77" s="44"/>
    </row>
    <row r="78" customFormat="false" ht="15" hidden="false" customHeight="true" outlineLevel="0" collapsed="false">
      <c r="A78" s="44" t="s">
        <v>962</v>
      </c>
      <c r="B78" s="44"/>
      <c r="C78" s="44"/>
      <c r="D78" s="44"/>
      <c r="E78" s="44"/>
      <c r="F78" s="44"/>
      <c r="G78" s="44"/>
      <c r="H78" s="44"/>
      <c r="I78" s="44"/>
      <c r="J78" s="44"/>
    </row>
    <row r="79" customFormat="false" ht="15" hidden="false" customHeight="true" outlineLevel="0" collapsed="false">
      <c r="A79" s="44" t="s">
        <v>963</v>
      </c>
      <c r="B79" s="44"/>
      <c r="C79" s="44"/>
      <c r="D79" s="44"/>
      <c r="E79" s="44"/>
      <c r="F79" s="44"/>
      <c r="G79" s="44"/>
      <c r="H79" s="44"/>
      <c r="I79" s="44"/>
      <c r="J79" s="44"/>
    </row>
    <row r="80" customFormat="false" ht="15" hidden="false" customHeight="true" outlineLevel="0" collapsed="false">
      <c r="A80" s="44" t="s">
        <v>964</v>
      </c>
      <c r="B80" s="44"/>
      <c r="C80" s="44"/>
      <c r="D80" s="44"/>
      <c r="E80" s="44"/>
      <c r="F80" s="44"/>
      <c r="G80" s="44"/>
      <c r="H80" s="44"/>
      <c r="I80" s="44"/>
      <c r="J80" s="44"/>
    </row>
    <row r="81" customFormat="false" ht="15" hidden="false" customHeight="true" outlineLevel="0" collapsed="false">
      <c r="A81" s="44" t="s">
        <v>965</v>
      </c>
      <c r="B81" s="44"/>
      <c r="C81" s="44"/>
      <c r="D81" s="44"/>
      <c r="E81" s="44"/>
      <c r="F81" s="44"/>
      <c r="G81" s="44"/>
      <c r="H81" s="44"/>
      <c r="I81" s="44"/>
      <c r="J81" s="44"/>
    </row>
    <row r="82" customFormat="false" ht="15" hidden="false" customHeight="true" outlineLevel="0" collapsed="false">
      <c r="A82" s="44" t="s">
        <v>966</v>
      </c>
      <c r="B82" s="44"/>
      <c r="C82" s="44"/>
      <c r="D82" s="44"/>
      <c r="E82" s="44"/>
      <c r="F82" s="44"/>
      <c r="G82" s="44"/>
      <c r="H82" s="44"/>
      <c r="I82" s="44"/>
      <c r="J82" s="44"/>
    </row>
    <row r="83" customFormat="false" ht="15" hidden="false" customHeight="true" outlineLevel="0" collapsed="false">
      <c r="A83" s="44" t="s">
        <v>967</v>
      </c>
      <c r="B83" s="44"/>
      <c r="C83" s="44"/>
      <c r="D83" s="44"/>
      <c r="E83" s="44"/>
      <c r="F83" s="44"/>
      <c r="G83" s="44"/>
      <c r="H83" s="44"/>
      <c r="I83" s="44"/>
      <c r="J83" s="44"/>
    </row>
    <row r="84" customFormat="false" ht="15" hidden="false" customHeight="true" outlineLevel="0" collapsed="false">
      <c r="A84" s="44" t="s">
        <v>968</v>
      </c>
      <c r="B84" s="44"/>
      <c r="C84" s="44"/>
      <c r="D84" s="44"/>
      <c r="E84" s="44"/>
      <c r="F84" s="44"/>
      <c r="G84" s="44"/>
      <c r="H84" s="44"/>
      <c r="I84" s="44"/>
      <c r="J84" s="44"/>
    </row>
    <row r="85" customFormat="false" ht="15" hidden="false" customHeight="true" outlineLevel="0" collapsed="false">
      <c r="A85" s="44" t="s">
        <v>969</v>
      </c>
      <c r="B85" s="44"/>
      <c r="C85" s="44"/>
      <c r="D85" s="44"/>
      <c r="E85" s="44"/>
      <c r="F85" s="44"/>
      <c r="G85" s="44"/>
      <c r="H85" s="44"/>
      <c r="I85" s="44"/>
      <c r="J85" s="44"/>
    </row>
    <row r="86" customFormat="false" ht="15" hidden="false" customHeight="true" outlineLevel="0" collapsed="false">
      <c r="A86" s="44" t="s">
        <v>970</v>
      </c>
      <c r="B86" s="44"/>
      <c r="C86" s="44"/>
      <c r="D86" s="44"/>
      <c r="E86" s="44"/>
      <c r="F86" s="44"/>
      <c r="G86" s="44"/>
      <c r="H86" s="44"/>
      <c r="I86" s="44"/>
      <c r="J86" s="44"/>
    </row>
    <row r="87" customFormat="false" ht="15" hidden="false" customHeight="true" outlineLevel="0" collapsed="false">
      <c r="A87" s="44" t="s">
        <v>971</v>
      </c>
      <c r="B87" s="44"/>
      <c r="C87" s="44"/>
      <c r="D87" s="44"/>
      <c r="E87" s="44"/>
      <c r="F87" s="44"/>
      <c r="G87" s="44"/>
      <c r="H87" s="44"/>
      <c r="I87" s="44"/>
      <c r="J87" s="44"/>
    </row>
    <row r="88" customFormat="false" ht="15" hidden="false" customHeight="true" outlineLevel="0" collapsed="false">
      <c r="A88" s="44" t="s">
        <v>972</v>
      </c>
      <c r="B88" s="44"/>
      <c r="C88" s="44"/>
      <c r="D88" s="44"/>
      <c r="E88" s="44"/>
      <c r="F88" s="44"/>
      <c r="G88" s="44"/>
      <c r="H88" s="44"/>
      <c r="I88" s="44"/>
      <c r="J88" s="44"/>
    </row>
    <row r="89" customFormat="false" ht="15" hidden="false" customHeight="true" outlineLevel="0" collapsed="false">
      <c r="A89" s="44" t="s">
        <v>973</v>
      </c>
      <c r="B89" s="44"/>
      <c r="C89" s="44"/>
      <c r="D89" s="44"/>
      <c r="E89" s="44"/>
      <c r="F89" s="44"/>
      <c r="G89" s="44"/>
      <c r="H89" s="44"/>
      <c r="I89" s="44"/>
      <c r="J89" s="44"/>
    </row>
    <row r="90" customFormat="false" ht="15" hidden="false" customHeight="true" outlineLevel="0" collapsed="false">
      <c r="A90" s="44" t="s">
        <v>974</v>
      </c>
      <c r="B90" s="44"/>
      <c r="C90" s="44"/>
      <c r="D90" s="44"/>
      <c r="E90" s="44"/>
      <c r="F90" s="44"/>
      <c r="G90" s="44"/>
      <c r="H90" s="44"/>
      <c r="I90" s="44"/>
      <c r="J90" s="44"/>
    </row>
    <row r="91" customFormat="false" ht="15" hidden="false" customHeight="true" outlineLevel="0" collapsed="false">
      <c r="A91" s="44" t="s">
        <v>975</v>
      </c>
      <c r="B91" s="44"/>
      <c r="C91" s="44"/>
      <c r="D91" s="44"/>
      <c r="E91" s="44"/>
      <c r="F91" s="44"/>
      <c r="G91" s="44"/>
      <c r="H91" s="44"/>
      <c r="I91" s="44"/>
      <c r="J91" s="44"/>
    </row>
    <row r="92" customFormat="false" ht="15" hidden="false" customHeight="true" outlineLevel="0" collapsed="false">
      <c r="A92" s="44" t="s">
        <v>976</v>
      </c>
      <c r="B92" s="44"/>
      <c r="C92" s="44"/>
      <c r="D92" s="44"/>
      <c r="E92" s="44"/>
      <c r="F92" s="44"/>
      <c r="G92" s="44"/>
      <c r="H92" s="44"/>
      <c r="I92" s="44"/>
      <c r="J92" s="44"/>
    </row>
    <row r="93" customFormat="false" ht="15" hidden="false" customHeight="true" outlineLevel="0" collapsed="false">
      <c r="A93" s="44" t="s">
        <v>977</v>
      </c>
      <c r="B93" s="44"/>
      <c r="C93" s="44"/>
      <c r="D93" s="44"/>
      <c r="E93" s="44"/>
      <c r="F93" s="44"/>
      <c r="G93" s="44"/>
      <c r="H93" s="44"/>
      <c r="I93" s="44"/>
      <c r="J93" s="44"/>
    </row>
    <row r="94" customFormat="false" ht="15" hidden="false" customHeight="true" outlineLevel="0" collapsed="false">
      <c r="A94" s="44" t="s">
        <v>978</v>
      </c>
      <c r="B94" s="44"/>
      <c r="C94" s="44"/>
      <c r="D94" s="44"/>
      <c r="E94" s="44"/>
      <c r="F94" s="44"/>
      <c r="G94" s="44"/>
      <c r="H94" s="44"/>
      <c r="I94" s="44"/>
      <c r="J94" s="44"/>
    </row>
    <row r="95" customFormat="false" ht="15" hidden="false" customHeight="true" outlineLevel="0" collapsed="false">
      <c r="A95" s="44" t="s">
        <v>979</v>
      </c>
      <c r="B95" s="44"/>
      <c r="C95" s="44"/>
      <c r="D95" s="44"/>
      <c r="E95" s="44"/>
      <c r="F95" s="44"/>
      <c r="G95" s="44"/>
      <c r="H95" s="44"/>
      <c r="I95" s="44"/>
      <c r="J95" s="44"/>
    </row>
    <row r="96" customFormat="false" ht="15" hidden="false" customHeight="true" outlineLevel="0" collapsed="false">
      <c r="A96" s="44" t="s">
        <v>980</v>
      </c>
      <c r="B96" s="44"/>
      <c r="C96" s="44"/>
      <c r="D96" s="44"/>
      <c r="E96" s="44"/>
      <c r="F96" s="44"/>
      <c r="G96" s="44"/>
      <c r="H96" s="44"/>
      <c r="I96" s="44"/>
      <c r="J96" s="44"/>
    </row>
    <row r="97" customFormat="false" ht="15" hidden="false" customHeight="true" outlineLevel="0" collapsed="false">
      <c r="A97" s="44" t="s">
        <v>979</v>
      </c>
      <c r="B97" s="44"/>
      <c r="C97" s="44"/>
      <c r="D97" s="44"/>
      <c r="E97" s="44"/>
      <c r="F97" s="44"/>
      <c r="G97" s="44"/>
      <c r="H97" s="44"/>
      <c r="I97" s="44"/>
      <c r="J97" s="44"/>
    </row>
    <row r="98" customFormat="false" ht="15" hidden="false" customHeight="true" outlineLevel="0" collapsed="false">
      <c r="A98" s="44" t="s">
        <v>981</v>
      </c>
      <c r="B98" s="44"/>
      <c r="C98" s="44"/>
      <c r="D98" s="44"/>
      <c r="E98" s="44"/>
      <c r="F98" s="44"/>
      <c r="G98" s="44"/>
      <c r="H98" s="44"/>
      <c r="I98" s="44"/>
      <c r="J98" s="44"/>
    </row>
    <row r="99" customFormat="false" ht="1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customFormat="false" ht="15" hidden="false" customHeight="true" outlineLevel="0" collapsed="false">
      <c r="A100" s="43" t="s">
        <v>982</v>
      </c>
      <c r="B100" s="43"/>
      <c r="C100" s="43"/>
      <c r="D100" s="43"/>
      <c r="E100" s="43"/>
      <c r="F100" s="43"/>
      <c r="G100" s="43"/>
      <c r="H100" s="43"/>
      <c r="I100" s="43"/>
      <c r="J100" s="43"/>
    </row>
    <row r="101" customFormat="false" ht="15" hidden="false" customHeight="true" outlineLevel="0" collapsed="false">
      <c r="A101" s="44" t="s">
        <v>983</v>
      </c>
      <c r="B101" s="44"/>
      <c r="C101" s="44"/>
      <c r="D101" s="44"/>
      <c r="E101" s="44"/>
      <c r="F101" s="44"/>
      <c r="G101" s="44"/>
      <c r="H101" s="44"/>
      <c r="I101" s="44"/>
      <c r="J101" s="44"/>
    </row>
    <row r="102" customFormat="false" ht="15" hidden="false" customHeight="true" outlineLevel="0" collapsed="false">
      <c r="A102" s="44" t="s">
        <v>984</v>
      </c>
      <c r="B102" s="44"/>
      <c r="C102" s="44"/>
      <c r="D102" s="44"/>
      <c r="E102" s="44"/>
      <c r="F102" s="44"/>
      <c r="G102" s="44"/>
      <c r="H102" s="44"/>
      <c r="I102" s="44"/>
      <c r="J102" s="44"/>
    </row>
    <row r="103" customFormat="false" ht="15" hidden="false" customHeight="true" outlineLevel="0" collapsed="false">
      <c r="A103" s="44" t="s">
        <v>985</v>
      </c>
      <c r="B103" s="44"/>
      <c r="C103" s="44"/>
      <c r="D103" s="44"/>
      <c r="E103" s="44"/>
      <c r="F103" s="44"/>
      <c r="G103" s="44"/>
      <c r="H103" s="44"/>
      <c r="I103" s="44"/>
      <c r="J103" s="44"/>
    </row>
    <row r="104" customFormat="false" ht="1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customFormat="false" ht="15" hidden="false" customHeight="true" outlineLevel="0" collapsed="false">
      <c r="A105" s="43" t="s">
        <v>986</v>
      </c>
      <c r="B105" s="43"/>
      <c r="C105" s="43"/>
      <c r="D105" s="43"/>
      <c r="E105" s="43"/>
      <c r="F105" s="43"/>
      <c r="G105" s="43"/>
      <c r="H105" s="43"/>
      <c r="I105" s="43"/>
      <c r="J105" s="43"/>
    </row>
    <row r="106" customFormat="false" ht="15" hidden="false" customHeight="true" outlineLevel="0" collapsed="false">
      <c r="A106" s="43" t="s">
        <v>987</v>
      </c>
      <c r="B106" s="43"/>
      <c r="C106" s="43"/>
      <c r="D106" s="43"/>
      <c r="E106" s="43"/>
      <c r="F106" s="43"/>
      <c r="G106" s="43"/>
      <c r="H106" s="43"/>
      <c r="I106" s="43"/>
      <c r="J106" s="43"/>
    </row>
    <row r="107" customFormat="false" ht="15" hidden="false" customHeight="true" outlineLevel="0" collapsed="false">
      <c r="A107" s="44" t="s">
        <v>988</v>
      </c>
      <c r="B107" s="44"/>
      <c r="C107" s="44"/>
      <c r="D107" s="44"/>
      <c r="E107" s="44"/>
      <c r="F107" s="44"/>
      <c r="G107" s="44"/>
      <c r="H107" s="44"/>
      <c r="I107" s="44"/>
      <c r="J107" s="44"/>
    </row>
  </sheetData>
  <mergeCells count="56">
    <mergeCell ref="A1:J1"/>
    <mergeCell ref="A2:J2"/>
    <mergeCell ref="A4:J4"/>
    <mergeCell ref="A38:J38"/>
    <mergeCell ref="A56:J56"/>
    <mergeCell ref="A57:J57"/>
    <mergeCell ref="A58:J58"/>
    <mergeCell ref="A59:J59"/>
    <mergeCell ref="A60:J60"/>
    <mergeCell ref="A61:J61"/>
    <mergeCell ref="A62:J62"/>
    <mergeCell ref="A63:J63"/>
    <mergeCell ref="A64:J64"/>
    <mergeCell ref="A65:J65"/>
    <mergeCell ref="A66:J66"/>
    <mergeCell ref="A67:J67"/>
    <mergeCell ref="A68:J68"/>
    <mergeCell ref="A69:J69"/>
    <mergeCell ref="A70:J70"/>
    <mergeCell ref="A71:J71"/>
    <mergeCell ref="A72:J72"/>
    <mergeCell ref="A73:J73"/>
    <mergeCell ref="A74:J74"/>
    <mergeCell ref="A75:J75"/>
    <mergeCell ref="A76:J76"/>
    <mergeCell ref="A77:J77"/>
    <mergeCell ref="A78:J78"/>
    <mergeCell ref="A79:J79"/>
    <mergeCell ref="A80:J80"/>
    <mergeCell ref="A81:J81"/>
    <mergeCell ref="A82:J82"/>
    <mergeCell ref="A83:J83"/>
    <mergeCell ref="A84:J84"/>
    <mergeCell ref="A85:J85"/>
    <mergeCell ref="A86:J86"/>
    <mergeCell ref="A87:J87"/>
    <mergeCell ref="A88:J88"/>
    <mergeCell ref="A89:J89"/>
    <mergeCell ref="A90:J90"/>
    <mergeCell ref="A91:J91"/>
    <mergeCell ref="A92:J92"/>
    <mergeCell ref="A93:J93"/>
    <mergeCell ref="A94:J94"/>
    <mergeCell ref="A95:J95"/>
    <mergeCell ref="A96:J96"/>
    <mergeCell ref="A97:J97"/>
    <mergeCell ref="A98:J98"/>
    <mergeCell ref="A99:J99"/>
    <mergeCell ref="A100:J100"/>
    <mergeCell ref="A101:J101"/>
    <mergeCell ref="A102:J102"/>
    <mergeCell ref="A103:J103"/>
    <mergeCell ref="A104:J104"/>
    <mergeCell ref="A105:J105"/>
    <mergeCell ref="A106:J106"/>
    <mergeCell ref="A107:J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10"/>
    <col collapsed="false" customWidth="true" hidden="false" outlineLevel="0" max="8" min="8" style="0" width="35"/>
  </cols>
  <sheetData>
    <row r="1" customFormat="false" ht="24" hidden="false" customHeight="true" outlineLevel="0" collapsed="false">
      <c r="A1" s="1" t="s">
        <v>989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7" t="s">
        <v>990</v>
      </c>
      <c r="B3" s="7" t="s">
        <v>991</v>
      </c>
      <c r="C3" s="7" t="s">
        <v>992</v>
      </c>
      <c r="D3" s="7" t="s">
        <v>47</v>
      </c>
      <c r="E3" s="7" t="s">
        <v>993</v>
      </c>
      <c r="F3" s="7" t="s">
        <v>994</v>
      </c>
      <c r="G3" s="7" t="s">
        <v>995</v>
      </c>
      <c r="H3" s="7" t="s">
        <v>996</v>
      </c>
    </row>
    <row r="4" customFormat="false" ht="15" hidden="false" customHeight="false" outlineLevel="0" collapsed="false">
      <c r="A4" s="18" t="s">
        <v>997</v>
      </c>
      <c r="B4" s="18"/>
      <c r="C4" s="18"/>
      <c r="D4" s="18"/>
      <c r="E4" s="18"/>
      <c r="F4" s="18"/>
      <c r="G4" s="18"/>
      <c r="H4" s="18"/>
    </row>
    <row r="5" customFormat="false" ht="15" hidden="false" customHeight="false" outlineLevel="0" collapsed="false">
      <c r="A5" s="5" t="s">
        <v>998</v>
      </c>
      <c r="B5" s="11" t="n">
        <v>0.311</v>
      </c>
      <c r="C5" s="11" t="n">
        <v>0.3108</v>
      </c>
      <c r="D5" s="11" t="s">
        <v>999</v>
      </c>
      <c r="E5" s="5" t="s">
        <v>1000</v>
      </c>
      <c r="F5" s="5" t="s">
        <v>236</v>
      </c>
      <c r="G5" s="11" t="s">
        <v>1001</v>
      </c>
      <c r="H5" s="5" t="s">
        <v>1002</v>
      </c>
    </row>
    <row r="6" customFormat="false" ht="15" hidden="false" customHeight="false" outlineLevel="0" collapsed="false">
      <c r="A6" s="5" t="s">
        <v>1003</v>
      </c>
      <c r="B6" s="11" t="n">
        <v>0.044</v>
      </c>
      <c r="C6" s="11" t="n">
        <v>0.0476</v>
      </c>
      <c r="D6" s="11" t="s">
        <v>53</v>
      </c>
      <c r="E6" s="5" t="s">
        <v>909</v>
      </c>
      <c r="F6" s="5" t="s">
        <v>1004</v>
      </c>
      <c r="G6" s="11" t="s">
        <v>1001</v>
      </c>
      <c r="H6" s="5" t="s">
        <v>1005</v>
      </c>
    </row>
    <row r="7" customFormat="false" ht="15" hidden="false" customHeight="false" outlineLevel="0" collapsed="false">
      <c r="A7" s="5" t="s">
        <v>1006</v>
      </c>
      <c r="B7" s="11" t="s">
        <v>1007</v>
      </c>
      <c r="C7" s="11" t="n">
        <v>0.001082</v>
      </c>
      <c r="D7" s="11" t="s">
        <v>396</v>
      </c>
      <c r="E7" s="5" t="s">
        <v>1008</v>
      </c>
      <c r="F7" s="5" t="s">
        <v>904</v>
      </c>
      <c r="G7" s="11" t="s">
        <v>1009</v>
      </c>
      <c r="H7" s="5" t="s">
        <v>1010</v>
      </c>
    </row>
    <row r="8" customFormat="false" ht="15" hidden="false" customHeight="false" outlineLevel="0" collapsed="false">
      <c r="A8" s="5" t="s">
        <v>1011</v>
      </c>
      <c r="B8" s="11" t="s">
        <v>1007</v>
      </c>
      <c r="C8" s="11" t="n">
        <v>0.0001923</v>
      </c>
      <c r="D8" s="11" t="s">
        <v>396</v>
      </c>
      <c r="E8" s="5" t="s">
        <v>1008</v>
      </c>
      <c r="F8" s="5" t="s">
        <v>904</v>
      </c>
      <c r="G8" s="11" t="s">
        <v>1009</v>
      </c>
      <c r="H8" s="5" t="s">
        <v>1010</v>
      </c>
    </row>
    <row r="9" customFormat="false" ht="15" hidden="false" customHeight="false" outlineLevel="0" collapsed="false">
      <c r="A9" s="5" t="s">
        <v>1012</v>
      </c>
      <c r="B9" s="11" t="s">
        <v>1007</v>
      </c>
      <c r="C9" s="11" t="n">
        <v>0.0001368</v>
      </c>
      <c r="D9" s="11" t="s">
        <v>396</v>
      </c>
      <c r="E9" s="5" t="s">
        <v>246</v>
      </c>
      <c r="F9" s="5" t="s">
        <v>371</v>
      </c>
      <c r="G9" s="11" t="s">
        <v>1009</v>
      </c>
      <c r="H9" s="5" t="s">
        <v>1010</v>
      </c>
    </row>
    <row r="10" customFormat="false" ht="15" hidden="false" customHeight="false" outlineLevel="0" collapsed="false">
      <c r="A10" s="45" t="s">
        <v>1013</v>
      </c>
      <c r="B10" s="45"/>
      <c r="C10" s="45"/>
      <c r="D10" s="45"/>
      <c r="E10" s="45"/>
      <c r="F10" s="45"/>
      <c r="G10" s="45"/>
      <c r="H10" s="45"/>
    </row>
    <row r="11" customFormat="false" ht="15" hidden="false" customHeight="false" outlineLevel="0" collapsed="false">
      <c r="A11" s="5" t="s">
        <v>63</v>
      </c>
      <c r="B11" s="11" t="n">
        <v>0.00753</v>
      </c>
      <c r="C11" s="11" t="n">
        <v>0.01894</v>
      </c>
      <c r="D11" s="11" t="s">
        <v>64</v>
      </c>
      <c r="E11" s="5" t="s">
        <v>1014</v>
      </c>
      <c r="F11" s="5" t="s">
        <v>1004</v>
      </c>
      <c r="G11" s="11" t="s">
        <v>1015</v>
      </c>
      <c r="H11" s="5" t="s">
        <v>1016</v>
      </c>
    </row>
    <row r="12" customFormat="false" ht="23.85" hidden="false" customHeight="false" outlineLevel="0" collapsed="false">
      <c r="A12" s="5" t="s">
        <v>1017</v>
      </c>
      <c r="B12" s="11" t="s">
        <v>1007</v>
      </c>
      <c r="C12" s="11" t="n">
        <v>0.03</v>
      </c>
      <c r="D12" s="11" t="s">
        <v>396</v>
      </c>
      <c r="E12" s="5" t="s">
        <v>1018</v>
      </c>
      <c r="F12" s="5" t="s">
        <v>522</v>
      </c>
      <c r="G12" s="11" t="s">
        <v>1015</v>
      </c>
      <c r="H12" s="5" t="s">
        <v>1019</v>
      </c>
    </row>
    <row r="14" customFormat="false" ht="15" hidden="false" customHeight="false" outlineLevel="0" collapsed="false">
      <c r="A14" s="46" t="s">
        <v>1020</v>
      </c>
      <c r="B14" s="46"/>
      <c r="C14" s="46"/>
      <c r="D14" s="46"/>
      <c r="E14" s="46"/>
      <c r="F14" s="46"/>
      <c r="G14" s="46"/>
      <c r="H14" s="46"/>
    </row>
    <row r="15" customFormat="false" ht="15" hidden="false" customHeight="false" outlineLevel="0" collapsed="false">
      <c r="A15" s="5" t="s">
        <v>1021</v>
      </c>
      <c r="B15" s="42" t="n">
        <v>0.000171</v>
      </c>
      <c r="C15" s="42" t="n">
        <v>0.002757</v>
      </c>
      <c r="D15" s="11" t="s">
        <v>59</v>
      </c>
      <c r="E15" s="5" t="s">
        <v>82</v>
      </c>
      <c r="F15" s="5" t="s">
        <v>1022</v>
      </c>
      <c r="G15" s="47" t="s">
        <v>1023</v>
      </c>
      <c r="H15" s="5" t="s">
        <v>1024</v>
      </c>
    </row>
    <row r="16" customFormat="false" ht="15" hidden="false" customHeight="false" outlineLevel="0" collapsed="false">
      <c r="A16" s="5" t="s">
        <v>1025</v>
      </c>
      <c r="B16" s="42" t="n">
        <v>0.000172</v>
      </c>
      <c r="C16" s="42" t="n">
        <v>0.002531</v>
      </c>
      <c r="D16" s="11" t="s">
        <v>927</v>
      </c>
      <c r="E16" s="5" t="s">
        <v>910</v>
      </c>
      <c r="F16" s="5" t="s">
        <v>1022</v>
      </c>
      <c r="G16" s="47" t="s">
        <v>1023</v>
      </c>
      <c r="H16" s="5" t="s">
        <v>1026</v>
      </c>
    </row>
    <row r="17" customFormat="false" ht="15" hidden="false" customHeight="false" outlineLevel="0" collapsed="false">
      <c r="A17" s="5" t="s">
        <v>1027</v>
      </c>
      <c r="B17" s="42" t="n">
        <v>0.000171</v>
      </c>
      <c r="C17" s="42" t="n">
        <v>0.002757</v>
      </c>
      <c r="D17" s="11" t="s">
        <v>59</v>
      </c>
      <c r="E17" s="5" t="s">
        <v>910</v>
      </c>
      <c r="F17" s="5" t="s">
        <v>1022</v>
      </c>
      <c r="G17" s="47" t="s">
        <v>1023</v>
      </c>
      <c r="H17" s="5" t="s">
        <v>1026</v>
      </c>
    </row>
    <row r="18" customFormat="false" ht="15" hidden="false" customHeight="false" outlineLevel="0" collapsed="false">
      <c r="A18" s="5" t="s">
        <v>1028</v>
      </c>
      <c r="B18" s="42" t="n">
        <v>8.91E-005</v>
      </c>
      <c r="C18" s="42" t="n">
        <v>0.003002</v>
      </c>
      <c r="D18" s="11" t="s">
        <v>62</v>
      </c>
      <c r="E18" s="5" t="s">
        <v>910</v>
      </c>
      <c r="F18" s="5" t="s">
        <v>836</v>
      </c>
      <c r="G18" s="47" t="s">
        <v>1023</v>
      </c>
      <c r="H18" s="5" t="s">
        <v>1026</v>
      </c>
    </row>
    <row r="19" customFormat="false" ht="23.85" hidden="false" customHeight="false" outlineLevel="0" collapsed="false">
      <c r="A19" s="5" t="s">
        <v>1029</v>
      </c>
      <c r="B19" s="42" t="n">
        <v>0.000162</v>
      </c>
      <c r="C19" s="42" t="n">
        <v>0.002715</v>
      </c>
      <c r="D19" s="11" t="s">
        <v>936</v>
      </c>
      <c r="E19" s="5" t="s">
        <v>910</v>
      </c>
      <c r="F19" s="5" t="s">
        <v>838</v>
      </c>
      <c r="G19" s="47" t="s">
        <v>1023</v>
      </c>
      <c r="H19" s="5" t="s">
        <v>1026</v>
      </c>
    </row>
    <row r="20" customFormat="false" ht="23.85" hidden="false" customHeight="false" outlineLevel="0" collapsed="false">
      <c r="A20" s="5" t="s">
        <v>1030</v>
      </c>
      <c r="B20" s="42" t="n">
        <v>0.00016</v>
      </c>
      <c r="C20" s="42" t="n">
        <v>0.002421</v>
      </c>
      <c r="D20" s="11" t="s">
        <v>940</v>
      </c>
      <c r="E20" s="5" t="s">
        <v>910</v>
      </c>
      <c r="F20" s="5" t="s">
        <v>840</v>
      </c>
      <c r="G20" s="47" t="s">
        <v>1023</v>
      </c>
      <c r="H20" s="5" t="s">
        <v>1026</v>
      </c>
    </row>
    <row r="21" customFormat="false" ht="23.85" hidden="false" customHeight="false" outlineLevel="0" collapsed="false">
      <c r="A21" s="5" t="s">
        <v>1031</v>
      </c>
      <c r="B21" s="42" t="n">
        <v>1.5E-005</v>
      </c>
      <c r="C21" s="42" t="n">
        <v>0.001001</v>
      </c>
      <c r="D21" s="11" t="s">
        <v>943</v>
      </c>
      <c r="E21" s="5" t="s">
        <v>910</v>
      </c>
      <c r="F21" s="5" t="s">
        <v>842</v>
      </c>
      <c r="G21" s="47" t="s">
        <v>1032</v>
      </c>
      <c r="H21" s="5" t="s">
        <v>1033</v>
      </c>
    </row>
    <row r="22" customFormat="false" ht="15" hidden="false" customHeight="false" outlineLevel="0" collapsed="false">
      <c r="A22" s="5" t="s">
        <v>1034</v>
      </c>
      <c r="B22" s="42" t="n">
        <v>0.000166</v>
      </c>
      <c r="C22" s="42" t="n">
        <v>0.002414</v>
      </c>
      <c r="D22" s="11" t="s">
        <v>930</v>
      </c>
      <c r="E22" s="5" t="s">
        <v>910</v>
      </c>
      <c r="F22" s="5" t="s">
        <v>845</v>
      </c>
      <c r="G22" s="47" t="s">
        <v>1023</v>
      </c>
      <c r="H22" s="5" t="s">
        <v>1026</v>
      </c>
    </row>
    <row r="24" customFormat="false" ht="15" hidden="false" customHeight="false" outlineLevel="0" collapsed="false">
      <c r="A24" s="6" t="s">
        <v>1035</v>
      </c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48" t="s">
        <v>1036</v>
      </c>
      <c r="B25" s="48" t="s">
        <v>1037</v>
      </c>
      <c r="C25" s="48"/>
      <c r="D25" s="48"/>
      <c r="E25" s="48"/>
      <c r="F25" s="48"/>
      <c r="G25" s="48"/>
      <c r="H25" s="48"/>
    </row>
    <row r="26" customFormat="false" ht="23.85" hidden="false" customHeight="true" outlineLevel="0" collapsed="false">
      <c r="A26" s="5" t="s">
        <v>1038</v>
      </c>
      <c r="B26" s="5" t="s">
        <v>1039</v>
      </c>
      <c r="C26" s="5"/>
      <c r="D26" s="5"/>
      <c r="E26" s="5"/>
      <c r="F26" s="5"/>
      <c r="G26" s="5"/>
      <c r="H26" s="5"/>
    </row>
    <row r="27" customFormat="false" ht="35.05" hidden="false" customHeight="true" outlineLevel="0" collapsed="false">
      <c r="A27" s="5" t="s">
        <v>1040</v>
      </c>
      <c r="B27" s="5" t="s">
        <v>1041</v>
      </c>
      <c r="C27" s="5"/>
      <c r="D27" s="5"/>
      <c r="E27" s="5"/>
      <c r="F27" s="5"/>
      <c r="G27" s="5"/>
      <c r="H27" s="5"/>
    </row>
    <row r="28" customFormat="false" ht="23.85" hidden="false" customHeight="true" outlineLevel="0" collapsed="false">
      <c r="A28" s="5" t="s">
        <v>1042</v>
      </c>
      <c r="B28" s="5" t="s">
        <v>1043</v>
      </c>
      <c r="C28" s="5"/>
      <c r="D28" s="5"/>
      <c r="E28" s="5"/>
      <c r="F28" s="5"/>
      <c r="G28" s="5"/>
      <c r="H28" s="5"/>
    </row>
    <row r="29" customFormat="false" ht="35.05" hidden="false" customHeight="true" outlineLevel="0" collapsed="false">
      <c r="A29" s="5" t="s">
        <v>1044</v>
      </c>
      <c r="B29" s="5" t="s">
        <v>1045</v>
      </c>
      <c r="C29" s="5"/>
      <c r="D29" s="5"/>
      <c r="E29" s="5"/>
      <c r="F29" s="5"/>
      <c r="G29" s="5"/>
      <c r="H29" s="5"/>
    </row>
    <row r="31" customFormat="false" ht="15" hidden="false" customHeight="false" outlineLevel="0" collapsed="false">
      <c r="A31" s="6" t="s">
        <v>1046</v>
      </c>
      <c r="B31" s="6"/>
      <c r="C31" s="6"/>
      <c r="D31" s="6"/>
      <c r="E31" s="6"/>
      <c r="F31" s="6"/>
      <c r="G31" s="6"/>
      <c r="H31" s="6"/>
    </row>
    <row r="32" customFormat="false" ht="180" hidden="false" customHeight="true" outlineLevel="0" collapsed="false">
      <c r="A32" s="49" t="s">
        <v>1047</v>
      </c>
      <c r="B32" s="49"/>
      <c r="C32" s="49"/>
      <c r="D32" s="49"/>
      <c r="E32" s="49"/>
      <c r="F32" s="49"/>
      <c r="G32" s="49"/>
      <c r="H32" s="49"/>
    </row>
  </sheetData>
  <mergeCells count="11">
    <mergeCell ref="A1:H1"/>
    <mergeCell ref="A4:H4"/>
    <mergeCell ref="A10:H10"/>
    <mergeCell ref="A14:H14"/>
    <mergeCell ref="A24:H24"/>
    <mergeCell ref="B26:H26"/>
    <mergeCell ref="B27:H27"/>
    <mergeCell ref="B28:H28"/>
    <mergeCell ref="B29:H29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5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24" hidden="false" customHeight="true" outlineLevel="0" collapsed="false">
      <c r="A1" s="1" t="s">
        <v>1048</v>
      </c>
      <c r="B1" s="1"/>
      <c r="C1" s="1"/>
      <c r="D1" s="1"/>
      <c r="E1" s="1"/>
    </row>
    <row r="2" customFormat="false" ht="15" hidden="false" customHeight="false" outlineLevel="0" collapsed="false">
      <c r="A2" s="3" t="s">
        <v>1049</v>
      </c>
      <c r="B2" s="3"/>
      <c r="C2" s="3"/>
      <c r="D2" s="3"/>
      <c r="E2" s="3"/>
    </row>
    <row r="4" customFormat="false" ht="15" hidden="false" customHeight="false" outlineLevel="0" collapsed="false">
      <c r="A4" s="7" t="s">
        <v>3</v>
      </c>
      <c r="B4" s="7" t="s">
        <v>1050</v>
      </c>
      <c r="C4" s="7" t="s">
        <v>1051</v>
      </c>
      <c r="D4" s="7" t="s">
        <v>1052</v>
      </c>
      <c r="E4" s="7" t="s">
        <v>1053</v>
      </c>
    </row>
    <row r="5" customFormat="false" ht="60" hidden="false" customHeight="true" outlineLevel="0" collapsed="false">
      <c r="A5" s="50" t="n">
        <v>1</v>
      </c>
      <c r="B5" s="5" t="s">
        <v>1054</v>
      </c>
      <c r="C5" s="5" t="s">
        <v>1055</v>
      </c>
      <c r="D5" s="51" t="s">
        <v>1056</v>
      </c>
      <c r="E5" s="5" t="s">
        <v>1057</v>
      </c>
    </row>
    <row r="6" customFormat="false" ht="60" hidden="false" customHeight="true" outlineLevel="0" collapsed="false">
      <c r="A6" s="50" t="n">
        <v>2</v>
      </c>
      <c r="B6" s="5" t="s">
        <v>1058</v>
      </c>
      <c r="C6" s="5" t="s">
        <v>1059</v>
      </c>
      <c r="D6" s="51" t="s">
        <v>1056</v>
      </c>
      <c r="E6" s="5" t="s">
        <v>1060</v>
      </c>
    </row>
    <row r="7" customFormat="false" ht="60" hidden="false" customHeight="true" outlineLevel="0" collapsed="false">
      <c r="A7" s="50" t="n">
        <v>3</v>
      </c>
      <c r="B7" s="5" t="s">
        <v>1061</v>
      </c>
      <c r="C7" s="5" t="s">
        <v>1062</v>
      </c>
      <c r="D7" s="51" t="s">
        <v>1056</v>
      </c>
      <c r="E7" s="5" t="s">
        <v>1063</v>
      </c>
    </row>
    <row r="8" customFormat="false" ht="60" hidden="false" customHeight="true" outlineLevel="0" collapsed="false">
      <c r="A8" s="50" t="n">
        <v>4</v>
      </c>
      <c r="B8" s="5" t="s">
        <v>1064</v>
      </c>
      <c r="C8" s="5" t="s">
        <v>1065</v>
      </c>
      <c r="D8" s="51" t="s">
        <v>1056</v>
      </c>
      <c r="E8" s="5" t="s">
        <v>1066</v>
      </c>
    </row>
    <row r="9" customFormat="false" ht="60" hidden="false" customHeight="true" outlineLevel="0" collapsed="false">
      <c r="A9" s="50" t="n">
        <v>5</v>
      </c>
      <c r="B9" s="5" t="s">
        <v>1067</v>
      </c>
      <c r="C9" s="5" t="s">
        <v>1068</v>
      </c>
      <c r="D9" s="52" t="s">
        <v>1069</v>
      </c>
      <c r="E9" s="5" t="s">
        <v>1070</v>
      </c>
    </row>
    <row r="10" customFormat="false" ht="60" hidden="false" customHeight="true" outlineLevel="0" collapsed="false">
      <c r="A10" s="50" t="n">
        <v>6</v>
      </c>
      <c r="B10" s="5" t="s">
        <v>1071</v>
      </c>
      <c r="C10" s="5" t="s">
        <v>1072</v>
      </c>
      <c r="D10" s="51" t="s">
        <v>1056</v>
      </c>
      <c r="E10" s="5" t="s">
        <v>1073</v>
      </c>
    </row>
    <row r="11" customFormat="false" ht="60" hidden="false" customHeight="true" outlineLevel="0" collapsed="false">
      <c r="A11" s="50" t="n">
        <v>7</v>
      </c>
      <c r="B11" s="5" t="s">
        <v>1074</v>
      </c>
      <c r="C11" s="5" t="s">
        <v>1075</v>
      </c>
      <c r="D11" s="52" t="s">
        <v>1069</v>
      </c>
      <c r="E11" s="5" t="s">
        <v>1076</v>
      </c>
    </row>
    <row r="12" customFormat="false" ht="60" hidden="false" customHeight="true" outlineLevel="0" collapsed="false">
      <c r="A12" s="50" t="n">
        <v>8</v>
      </c>
      <c r="B12" s="5" t="s">
        <v>1077</v>
      </c>
      <c r="C12" s="5" t="s">
        <v>1078</v>
      </c>
      <c r="D12" s="52" t="s">
        <v>1069</v>
      </c>
      <c r="E12" s="5" t="s">
        <v>1079</v>
      </c>
    </row>
    <row r="13" customFormat="false" ht="60" hidden="false" customHeight="true" outlineLevel="0" collapsed="false">
      <c r="A13" s="50" t="n">
        <v>9</v>
      </c>
      <c r="B13" s="5" t="s">
        <v>1080</v>
      </c>
      <c r="C13" s="5" t="s">
        <v>1081</v>
      </c>
      <c r="D13" s="52" t="s">
        <v>1069</v>
      </c>
      <c r="E13" s="5" t="s">
        <v>1082</v>
      </c>
    </row>
    <row r="14" customFormat="false" ht="60" hidden="false" customHeight="true" outlineLevel="0" collapsed="false">
      <c r="A14" s="50" t="n">
        <v>10</v>
      </c>
      <c r="B14" s="5" t="s">
        <v>1083</v>
      </c>
      <c r="C14" s="5" t="s">
        <v>1084</v>
      </c>
      <c r="D14" s="52" t="s">
        <v>1069</v>
      </c>
      <c r="E14" s="5" t="s">
        <v>1085</v>
      </c>
    </row>
    <row r="15" customFormat="false" ht="60" hidden="false" customHeight="true" outlineLevel="0" collapsed="false">
      <c r="A15" s="50" t="n">
        <v>11</v>
      </c>
      <c r="B15" s="5" t="s">
        <v>1086</v>
      </c>
      <c r="C15" s="5" t="s">
        <v>1087</v>
      </c>
      <c r="D15" s="51" t="s">
        <v>1056</v>
      </c>
      <c r="E15" s="5" t="s">
        <v>1088</v>
      </c>
    </row>
    <row r="16" customFormat="false" ht="60" hidden="false" customHeight="true" outlineLevel="0" collapsed="false">
      <c r="A16" s="50" t="n">
        <v>12</v>
      </c>
      <c r="B16" s="5" t="s">
        <v>1089</v>
      </c>
      <c r="C16" s="5" t="s">
        <v>1090</v>
      </c>
      <c r="D16" s="52" t="s">
        <v>1069</v>
      </c>
      <c r="E16" s="5" t="s">
        <v>1091</v>
      </c>
    </row>
    <row r="19" customFormat="false" ht="15" hidden="false" customHeight="false" outlineLevel="0" collapsed="false">
      <c r="A19" s="6" t="s">
        <v>1092</v>
      </c>
      <c r="B19" s="6"/>
      <c r="C19" s="6"/>
      <c r="D19" s="6"/>
      <c r="E19" s="6"/>
    </row>
    <row r="20" customFormat="false" ht="229.5" hidden="false" customHeight="true" outlineLevel="0" collapsed="false">
      <c r="A20" s="49" t="s">
        <v>1093</v>
      </c>
      <c r="B20" s="49"/>
      <c r="C20" s="49"/>
      <c r="D20" s="49"/>
      <c r="E20" s="49"/>
    </row>
  </sheetData>
  <mergeCells count="4">
    <mergeCell ref="A1:E1"/>
    <mergeCell ref="A2:E2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2026-04-20T20:07:22Z</dcterms:created>
  <dc:creator>openpyxl</dc:creator>
  <dc:description/>
  <dc:language>en-US</dc:language>
  <cp:lastModifiedBy/>
  <dcterms:modified xsi:type="dcterms:W3CDTF">2026-04-20T20:14:54Z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