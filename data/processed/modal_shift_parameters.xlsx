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ilippocinquini/Desktop/database progetto/Modal_shift/"/>
    </mc:Choice>
  </mc:AlternateContent>
  <xr:revisionPtr revIDLastSave="0" documentId="13_ncr:1_{6611060F-1A4A-344C-A769-82438EC71E72}" xr6:coauthVersionLast="47" xr6:coauthVersionMax="47" xr10:uidLastSave="{00000000-0000-0000-0000-000000000000}"/>
  <bookViews>
    <workbookView xWindow="0" yWindow="660" windowWidth="29400" windowHeight="18460" tabRatio="500" activeTab="8" xr2:uid="{00000000-000D-0000-FFFF-FFFF00000000}"/>
  </bookViews>
  <sheets>
    <sheet name="00_README" sheetId="1" r:id="rId1"/>
    <sheet name="01_Conversions" sheetId="2" r:id="rId2"/>
    <sheet name="02_Nav_Efficiency" sheetId="3" r:id="rId3"/>
    <sheet name="03_Rail_Efficiency" sheetId="4" r:id="rId4"/>
    <sheet name="04_HTR_D5_Inversion" sheetId="5" r:id="rId5"/>
    <sheet name="05_Efficiency_Summary" sheetId="6" r:id="rId6"/>
    <sheet name="06_LoadFactors" sheetId="7" r:id="rId7"/>
    <sheet name="07_Demand_TRA_FRG" sheetId="8" r:id="rId8"/>
    <sheet name="08_TEMOA_SQL_Ready" sheetId="9" r:id="rId9"/>
    <sheet name="09_Notes_Methodology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4" l="1"/>
  <c r="B24" i="4"/>
  <c r="F24" i="4"/>
  <c r="I9" i="8"/>
  <c r="I8" i="8"/>
  <c r="H8" i="8"/>
  <c r="H9" i="8" s="1"/>
  <c r="G8" i="8"/>
  <c r="G9" i="8" s="1"/>
  <c r="F8" i="8"/>
  <c r="E8" i="8"/>
  <c r="D8" i="8"/>
  <c r="I7" i="8"/>
  <c r="H7" i="8"/>
  <c r="G7" i="8"/>
  <c r="F7" i="8"/>
  <c r="E7" i="8"/>
  <c r="D7" i="8"/>
  <c r="I6" i="8"/>
  <c r="H6" i="8"/>
  <c r="G6" i="8"/>
  <c r="F6" i="8"/>
  <c r="F9" i="8" s="1"/>
  <c r="E6" i="8"/>
  <c r="E9" i="8" s="1"/>
  <c r="D6" i="8"/>
  <c r="D9" i="8" s="1"/>
  <c r="C6" i="8"/>
  <c r="C9" i="8" s="1"/>
  <c r="B6" i="8"/>
  <c r="B9" i="8" s="1"/>
  <c r="F16" i="7"/>
  <c r="D16" i="7"/>
  <c r="F15" i="7"/>
  <c r="D15" i="7"/>
  <c r="F14" i="7"/>
  <c r="D14" i="7"/>
  <c r="E9" i="7"/>
  <c r="D9" i="7"/>
  <c r="E8" i="7"/>
  <c r="D8" i="7"/>
  <c r="E7" i="7"/>
  <c r="D7" i="7"/>
  <c r="D34" i="6"/>
  <c r="D33" i="6"/>
  <c r="D26" i="6"/>
  <c r="D25" i="6"/>
  <c r="F20" i="5"/>
  <c r="E20" i="5"/>
  <c r="F16" i="5"/>
  <c r="E16" i="5"/>
  <c r="D35" i="6" s="1"/>
  <c r="F15" i="5"/>
  <c r="E15" i="5"/>
  <c r="F14" i="5"/>
  <c r="E14" i="5"/>
  <c r="F13" i="5"/>
  <c r="E13" i="5"/>
  <c r="D32" i="6" s="1"/>
  <c r="F12" i="5"/>
  <c r="E12" i="5"/>
  <c r="D31" i="6" s="1"/>
  <c r="F11" i="5"/>
  <c r="E11" i="5"/>
  <c r="D30" i="6" s="1"/>
  <c r="F10" i="5"/>
  <c r="E10" i="5"/>
  <c r="D29" i="6" s="1"/>
  <c r="F9" i="5"/>
  <c r="E9" i="5"/>
  <c r="D28" i="6" s="1"/>
  <c r="F8" i="5"/>
  <c r="E8" i="5"/>
  <c r="D27" i="6" s="1"/>
  <c r="F7" i="5"/>
  <c r="E7" i="5"/>
  <c r="F6" i="5"/>
  <c r="E6" i="5"/>
  <c r="F26" i="4"/>
  <c r="E26" i="4"/>
  <c r="D18" i="6" s="1"/>
  <c r="D26" i="4"/>
  <c r="B26" i="4"/>
  <c r="F25" i="4"/>
  <c r="B25" i="4"/>
  <c r="D25" i="4" s="1"/>
  <c r="E25" i="4" s="1"/>
  <c r="B23" i="4"/>
  <c r="D23" i="4" s="1"/>
  <c r="G23" i="4" s="1"/>
  <c r="G17" i="4"/>
  <c r="G16" i="4"/>
  <c r="G15" i="4"/>
  <c r="D24" i="4" s="1"/>
  <c r="E24" i="4" s="1"/>
  <c r="G24" i="4" s="1"/>
  <c r="G9" i="4"/>
  <c r="G8" i="4"/>
  <c r="F23" i="4" s="1"/>
  <c r="G7" i="4"/>
  <c r="F15" i="3"/>
  <c r="D15" i="3"/>
  <c r="E15" i="3" s="1"/>
  <c r="G15" i="3" s="1"/>
  <c r="B15" i="3"/>
  <c r="F14" i="3"/>
  <c r="B14" i="3"/>
  <c r="D14" i="3" s="1"/>
  <c r="E14" i="3" s="1"/>
  <c r="G14" i="3" s="1"/>
  <c r="G9" i="3"/>
  <c r="G8" i="3"/>
  <c r="F13" i="3" s="1"/>
  <c r="G7" i="3"/>
  <c r="B13" i="3" s="1"/>
  <c r="D13" i="3" s="1"/>
  <c r="E13" i="3" s="1"/>
  <c r="C28" i="2"/>
  <c r="C27" i="2"/>
  <c r="C26" i="2"/>
  <c r="D25" i="2"/>
  <c r="C25" i="2"/>
  <c r="D24" i="2"/>
  <c r="C24" i="2"/>
  <c r="D23" i="2"/>
  <c r="C23" i="2"/>
  <c r="D19" i="6" l="1"/>
  <c r="G25" i="4"/>
  <c r="D21" i="6"/>
  <c r="D11" i="6"/>
  <c r="D8" i="6"/>
  <c r="G13" i="3"/>
  <c r="D13" i="6"/>
  <c r="D10" i="6"/>
  <c r="D7" i="6"/>
  <c r="D14" i="6"/>
  <c r="D12" i="6"/>
  <c r="D9" i="6"/>
  <c r="G18" i="6"/>
  <c r="F18" i="6"/>
  <c r="D20" i="6"/>
  <c r="G26" i="4"/>
  <c r="G10" i="6" l="1"/>
  <c r="F10" i="6"/>
  <c r="F8" i="6"/>
  <c r="G8" i="6"/>
  <c r="G20" i="6"/>
  <c r="F20" i="6"/>
  <c r="G13" i="6"/>
  <c r="F13" i="6"/>
  <c r="G9" i="6"/>
  <c r="F9" i="6"/>
  <c r="F11" i="6"/>
  <c r="G11" i="6"/>
  <c r="G12" i="6"/>
  <c r="F12" i="6"/>
  <c r="G21" i="6"/>
  <c r="F21" i="6"/>
  <c r="F14" i="6"/>
  <c r="G14" i="6"/>
  <c r="G7" i="6"/>
  <c r="F7" i="6"/>
  <c r="F19" i="6"/>
  <c r="G19" i="6"/>
</calcChain>
</file>

<file path=xl/sharedStrings.xml><?xml version="1.0" encoding="utf-8"?>
<sst xmlns="http://schemas.openxmlformats.org/spreadsheetml/2006/main" count="388" uniqueCount="297">
  <si>
    <t>MODAL SHIFT v2 — Italy Freight Decarbonisation (Fase 3)</t>
  </si>
  <si>
    <t>Versione</t>
  </si>
  <si>
    <t>v2 — dati reali HTR da ROAD_MASTER_v10 + formula Gtkm/PJ corretta</t>
  </si>
  <si>
    <t>Correzioni v1→v2</t>
  </si>
  <si>
    <t>BUG1: =1E9/D → =1/D  |  BUG2: nomi tech HTR (ELC_N, FCELL_N)  |  BUG3: valori MJ/tkm reali v10  |  BUG4: LF=16.596</t>
  </si>
  <si>
    <t>Unità operative</t>
  </si>
  <si>
    <t>Efficiency → Gtkm/PJ  |  Demand → Gtkm</t>
  </si>
  <si>
    <t>Formula chiave</t>
  </si>
  <si>
    <t>Gtkm/PJ = 1/(MJ/tkm)  =  Bvkm/PJ × LF  [verificato per tutte le tech]</t>
  </si>
  <si>
    <t>Struttura modi</t>
  </si>
  <si>
    <t>TRA_ROA_HTR_D5 (&gt;500 km)  +  TRA_RAIL_FRG  +  TRA_NAV_DOM</t>
  </si>
  <si>
    <t>Fogli</t>
  </si>
  <si>
    <t>01_Conversions</t>
  </si>
  <si>
    <t>Tabella conversioni + dimostrazione algebrica Gtkm/PJ = 1/MJ_tkm</t>
  </si>
  <si>
    <t>02_Nav_Efficiency</t>
  </si>
  <si>
    <t>JRC-IDEES baseline nav domestica → Gtkm/PJ con cross-check</t>
  </si>
  <si>
    <t>03_Rail_Efficiency</t>
  </si>
  <si>
    <t>JRC-IDEES baseline treni merci DSL + ELC → Gtkm/PJ con cross-check</t>
  </si>
  <si>
    <t>04_HTR_D5_Inversion</t>
  </si>
  <si>
    <t>Dati reali v10: 7 tech HTR D5, Bvkm/PJ, MJ/tkm, Gtkm/PJ, verifica Bvkm×LF</t>
  </si>
  <si>
    <t>05_Efficiency_Summary</t>
  </si>
  <si>
    <t>Riepilogo Gtkm/PJ per tutti 3 modi su vintage 2020/2030/2050</t>
  </si>
  <si>
    <t>06_LoadFactors</t>
  </si>
  <si>
    <t>LF per modo: nav (~2119 t/vkm avg), rail (~393 t/vkm avg), HTR D5 (16.596)</t>
  </si>
  <si>
    <t>07_Demand_TRA_FRG</t>
  </si>
  <si>
    <t>Demand aggregata TRA_FRG [Gtkm] per 2020-2050</t>
  </si>
  <si>
    <t>08_TEMOA_SQL_Ready</t>
  </si>
  <si>
    <t>INSERT/UPDATE SQL pronti per Transport.sql</t>
  </si>
  <si>
    <t>09_Notes_Methodology</t>
  </si>
  <si>
    <t>Correzioni v1, conferma operato, domande prof</t>
  </si>
  <si>
    <t>Tabella di conversione unitaria</t>
  </si>
  <si>
    <t>Costanti fisiche</t>
  </si>
  <si>
    <t>Costante</t>
  </si>
  <si>
    <t>Valore</t>
  </si>
  <si>
    <t>Unità</t>
  </si>
  <si>
    <t>Nota</t>
  </si>
  <si>
    <t>1 ktoe</t>
  </si>
  <si>
    <t>TJ</t>
  </si>
  <si>
    <t>IEA standard</t>
  </si>
  <si>
    <t>PJ</t>
  </si>
  <si>
    <t>pari a 41.868 TJ</t>
  </si>
  <si>
    <t>1 PJ</t>
  </si>
  <si>
    <t>MJ</t>
  </si>
  <si>
    <t>pari a 1000 TJ</t>
  </si>
  <si>
    <t>1 Mtkm</t>
  </si>
  <si>
    <t>tkm</t>
  </si>
  <si>
    <t>pari a 10^6 tkm</t>
  </si>
  <si>
    <t>1 Gtkm</t>
  </si>
  <si>
    <t>pari a 10^9 tkm</t>
  </si>
  <si>
    <t>1 Bvkm</t>
  </si>
  <si>
    <t>vkm</t>
  </si>
  <si>
    <t>pari a 10^9 vkm</t>
  </si>
  <si>
    <t>Dimostrazione algebrica: Gtkm/PJ = 1/(MJ/tkm)</t>
  </si>
  <si>
    <t>Passo 1: E [tkm/MJ] = 1 / (MJ/tkm)</t>
  </si>
  <si>
    <t>Passo 2: conversione PJ → MJ:  E [tkm/PJ] = E [tkm/MJ] × (10^9 MJ/PJ) = 10^9 / (MJ/tkm)</t>
  </si>
  <si>
    <t>Passo 3: conversione tkm → Gtkm:  E [Gtkm/PJ] = E [tkm/PJ] / 10^9 = [10^9 / (MJ/tkm)] / 10^9</t>
  </si>
  <si>
    <t>✓  RISULTATO:   Gtkm/PJ = 1 / (MJ/tkm)     →  formula Excel: =1/D{riga}</t>
  </si>
  <si>
    <t>✓  ALTERNATIVA: Gtkm/PJ = Bvkm/PJ × LF     dove LF = load factor [t/vkm]</t>
  </si>
  <si>
    <t xml:space="preserve">   Dimostrazione alt.: 1 Bvkm/PJ = 10^9 vkm/PJ; × LF[t/vkm] = 10^9 t·km/PJ = 1 Gtkm/PJ  ✓</t>
  </si>
  <si>
    <t>⚠  BUG v1: "=1E9/D" → LibreOffice interpreta 1E9 come "1 × cell(E9)" non come 10^9 → risultato ~10^18 volte sbagliato</t>
  </si>
  <si>
    <t>Verifica numerica</t>
  </si>
  <si>
    <t>Esempio</t>
  </si>
  <si>
    <t>MJ/tkm</t>
  </si>
  <si>
    <t>Gtkm/PJ = 1/MJ_tkm</t>
  </si>
  <si>
    <t>Bvkm×LF (cross-check)</t>
  </si>
  <si>
    <t>HTR_DST_N D5 v10 2020</t>
  </si>
  <si>
    <t>HTR_ELC_N D5 v10 2020</t>
  </si>
  <si>
    <t>HTR_FCELL_N D5 v10 2025</t>
  </si>
  <si>
    <t>Rail DSL avg 2019-23</t>
  </si>
  <si>
    <t>— (da JRC activity/energy)</t>
  </si>
  <si>
    <t>Rail ELC avg 2019-23</t>
  </si>
  <si>
    <t>Nav DOM avg 2019-23</t>
  </si>
  <si>
    <t>Domestic Navigation — Efficiency baseline (JRC-IDEES 2023)</t>
  </si>
  <si>
    <t>Fonte: JRC-IDEES 2023, Domestic Navigation Total (coastal + inland).</t>
  </si>
  <si>
    <t>Serie storica 2019-2023</t>
  </si>
  <si>
    <t>Indicatore</t>
  </si>
  <si>
    <t>2019</t>
  </si>
  <si>
    <t>2020</t>
  </si>
  <si>
    <t>2021</t>
  </si>
  <si>
    <t>2022</t>
  </si>
  <si>
    <t>2023</t>
  </si>
  <si>
    <t>Avg 19-23</t>
  </si>
  <si>
    <t>Baseline 2019</t>
  </si>
  <si>
    <t>Energy intensity Total</t>
  </si>
  <si>
    <t>kgoe/ktkm</t>
  </si>
  <si>
    <t>Activity Total</t>
  </si>
  <si>
    <t>Mtkm</t>
  </si>
  <si>
    <t>Energy cons. Total</t>
  </si>
  <si>
    <t>ktoe</t>
  </si>
  <si>
    <t>Conversione → Gtkm/PJ</t>
  </si>
  <si>
    <t>Scenario</t>
  </si>
  <si>
    <t>Intensity (kgoe/ktkm)</t>
  </si>
  <si>
    <t>→ MJ/tkm</t>
  </si>
  <si>
    <t>Cross-check Mtkm÷ktoe×factor</t>
  </si>
  <si>
    <t>Match</t>
  </si>
  <si>
    <t>Avg 2019-2023</t>
  </si>
  <si>
    <t>× 41.868/1000</t>
  </si>
  <si>
    <t>Pre-COVID (2019)</t>
  </si>
  <si>
    <t>Ultimo (2023)</t>
  </si>
  <si>
    <t>✓ Scenario raccomandato: Avg 2019-2023 (robusto a outlier 2022-23)</t>
  </si>
  <si>
    <t>Freight Train — Efficiency baseline (JRC-IDEES 2023)</t>
  </si>
  <si>
    <t>Fonte: JRC-IDEES 2023, Freight Train, split Diesel / Electric.</t>
  </si>
  <si>
    <t>DIESEL — 2019-2023</t>
  </si>
  <si>
    <t>Energy intensity Diesel</t>
  </si>
  <si>
    <t>Activity Diesel</t>
  </si>
  <si>
    <t>Energy cons. Diesel</t>
  </si>
  <si>
    <t>ELECTRIC — 2019-2023</t>
  </si>
  <si>
    <t>Energy intensity Electric</t>
  </si>
  <si>
    <t>Activity Electric</t>
  </si>
  <si>
    <t>Energy cons. Electric</t>
  </si>
  <si>
    <t>Tecnologia</t>
  </si>
  <si>
    <t>Intensity</t>
  </si>
  <si>
    <t>Cross-check Mtkm÷ktoe</t>
  </si>
  <si>
    <t>TRA_RAIL_FRG_DST_N Avg 19-23</t>
  </si>
  <si>
    <t>TRA_RAIL_FRG_ELC_N Avg 19-23</t>
  </si>
  <si>
    <t>TRA_RAIL_FRG_DST_N Pre-COVID</t>
  </si>
  <si>
    <t>TRA_RAIL_FRG_ELC_N Pre-COVID</t>
  </si>
  <si>
    <t>⚠ Anomalia 2023 ELC: intensity=4.35 vs storico ~2.80 kgoe/ktkm → baseline consigliata Pre-COVID 2019</t>
  </si>
  <si>
    <t>Nota: per lo scenario Avg 2019-2023 il cross-check mostra uno scarto ~2% (atteso). Causa: AVERAGE(kgoe/ktkm_y) ≠ SUM(Mtkm_y)/SUM(ktoe_y) per proprietà matematica degli averages. Per anno singolo (pre-COVID 2019) le due formule coincidono perfettamente. Raccomandato: usare baseline Pre-COVID 2019 per evitare questa ambiguità.</t>
  </si>
  <si>
    <t>HTR_D5 (&gt;500 km) — Dati reali v10, LF=16.596</t>
  </si>
  <si>
    <t>Fonte: 13_TEMOA_Ready ROAD_MASTER_v10. LF=16.596 t/vkm (da eff_notes v10). Verificato: 1/MJ_tkm = Bvkm×LF per ogni riga.</t>
  </si>
  <si>
    <t>Vintage</t>
  </si>
  <si>
    <t>Bvkm/PJ (v10)</t>
  </si>
  <si>
    <t>MJ/tkm (v10)</t>
  </si>
  <si>
    <t>Gtkm/PJ = Bvkm×16.596</t>
  </si>
  <si>
    <t>Note (eff_notes v10)</t>
  </si>
  <si>
    <t>TRA_ROA_HTR_DST_E</t>
  </si>
  <si>
    <t>tech×1.00 dist×0.75 LF×16.596</t>
  </si>
  <si>
    <t>TRA_ROA_HTR_DST_N</t>
  </si>
  <si>
    <t>tech×0.92 dist×0.75 LF×16.596</t>
  </si>
  <si>
    <t>learn@2030</t>
  </si>
  <si>
    <t>learn@2050</t>
  </si>
  <si>
    <t>TRA_ROA_HTR_ELC_N</t>
  </si>
  <si>
    <t>tech×0.32 dist×1.15 LF×16.596</t>
  </si>
  <si>
    <t>TRA_ROA_HTR_FCELL_N</t>
  </si>
  <si>
    <t>tech×0.45 dist×1.10 LF×16.596 learn@2025</t>
  </si>
  <si>
    <t>TRA_ROA_HTR_LPG_N</t>
  </si>
  <si>
    <t>tech×1.15 dist×0.75 LF×16.596</t>
  </si>
  <si>
    <t>TRA_ROA_HTR_NGA_N</t>
  </si>
  <si>
    <t>tech×0.93 dist×0.75 LF×16.596</t>
  </si>
  <si>
    <t>✓ Match atteso: col E = col F per ogni riga (Gtkm/PJ = 1/MJ_tkm = Bvkm×16.596). Tollleranza &lt;0.001.</t>
  </si>
  <si>
    <t>⚠ ANOMALIA DOCUMENTATA: TRA_ROA_HTR_BIO_E (D5)</t>
  </si>
  <si>
    <t>TRA_ROA_HTR_BIO_E</t>
  </si>
  <si>
    <t>output_comm=TRA_ROA_MTR! LF=9.128 (MTR). Inutilizzabile per modal shift HTR.</t>
  </si>
  <si>
    <t>Nota: 1/1.4008 = 0.714 Gtkm/PJ → valore coerente con MTR (LF 9.128), non HTR (LF 16.596).</t>
  </si>
  <si>
    <t>Efficiency Summary — Gtkm/PJ per TEMOA (corretti v2)</t>
  </si>
  <si>
    <t>Unità: Gtkm/PJ. Formula: =1/MJ_tkm. Learning curve lineare per nav e rail.</t>
  </si>
  <si>
    <t>Domestic Navigation — new techs</t>
  </si>
  <si>
    <t>Input fuel</t>
  </si>
  <si>
    <t>Gtkm/PJ (2020)</t>
  </si>
  <si>
    <t>Δ%/y</t>
  </si>
  <si>
    <t>Gtkm/PJ (2030)</t>
  </si>
  <si>
    <t>Gtkm/PJ (2050)</t>
  </si>
  <si>
    <t>TRA_NAV_DOM_E</t>
  </si>
  <si>
    <t>2007-2020</t>
  </si>
  <si>
    <t>TRA_DST/HFO</t>
  </si>
  <si>
    <t>TRA_NAV_DOM_DST_N</t>
  </si>
  <si>
    <t>2020-2050</t>
  </si>
  <si>
    <t>TRA_DST</t>
  </si>
  <si>
    <t>TRA_NAV_DOM_HFO_N</t>
  </si>
  <si>
    <t>TRA_HFO</t>
  </si>
  <si>
    <t>TRA_NAV_DOM_LNG_N</t>
  </si>
  <si>
    <t>2025-2050</t>
  </si>
  <si>
    <t>TRA_LNG</t>
  </si>
  <si>
    <t>TRA_NAV_DOM_DUAL_N</t>
  </si>
  <si>
    <t>TRA_HFO+MET</t>
  </si>
  <si>
    <t>TRA_NAV_DOM_AMM_ICE_N</t>
  </si>
  <si>
    <t>2030-2050</t>
  </si>
  <si>
    <t>TRA_AMM</t>
  </si>
  <si>
    <t>TRA_NAV_DOM_MET_ICE_N</t>
  </si>
  <si>
    <t>TRA_MET</t>
  </si>
  <si>
    <t>TRA_NAV_DOM_H2L_ICE_N</t>
  </si>
  <si>
    <t>TRA_H2L</t>
  </si>
  <si>
    <t>Freight Rail — new techs</t>
  </si>
  <si>
    <t>TRA_RAIL_FRG_E</t>
  </si>
  <si>
    <t>2006-2020</t>
  </si>
  <si>
    <t>TRA_DST/ELC</t>
  </si>
  <si>
    <t>TRA_RAIL_FRG_DST_N</t>
  </si>
  <si>
    <t>TRA_RAIL_FRG_ELC_N</t>
  </si>
  <si>
    <t>TRA_ELC</t>
  </si>
  <si>
    <t>TRA_RAIL_FRG_H2G_MNL_N</t>
  </si>
  <si>
    <t>TRA_H2G</t>
  </si>
  <si>
    <t>HTR_D5 — Camion lunga percorrenza (dati reali v10)</t>
  </si>
  <si>
    <t>Gtkm/PJ</t>
  </si>
  <si>
    <t>Load Factors — tkm/vkm per ciascun modo</t>
  </si>
  <si>
    <t>LF = Mtkm/Mvkm da JRC-IDEES. HTR D5: LF=16.596 da eff_notes v10. Navigazione: tkm/vkm valore molto alto = navi pesanti.</t>
  </si>
  <si>
    <t>Calcolo LF da JRC-IDEES 2019-2023</t>
  </si>
  <si>
    <t>Modo</t>
  </si>
  <si>
    <t>Mtkm 2023</t>
  </si>
  <si>
    <t>Mvkm 2023</t>
  </si>
  <si>
    <t>LF 2023 (t/vkm)</t>
  </si>
  <si>
    <t>Avg LF 2019-23</t>
  </si>
  <si>
    <t>Note</t>
  </si>
  <si>
    <t>Domestic Navigation</t>
  </si>
  <si>
    <t>Mtkm×1000/Mvkm — valore alto = grandi navi</t>
  </si>
  <si>
    <t>Freight Rail Total</t>
  </si>
  <si>
    <t>Carico medio treno merci (t/treno-km)</t>
  </si>
  <si>
    <t>HGV Domestic (all)</t>
  </si>
  <si>
    <t>Tutti HGV domestici</t>
  </si>
  <si>
    <t>HTR_D5 &gt;500 km (v10)</t>
  </si>
  <si>
    <t>—</t>
  </si>
  <si>
    <t>Valore 16.596 da colonna eff_notes del 13_TEMOA_Ready v10</t>
  </si>
  <si>
    <t>Cross-check Gtkm/PJ via LF vs 1/MJ_tkm (3 campioni HTR D5)</t>
  </si>
  <si>
    <t>Tech (D5)</t>
  </si>
  <si>
    <t>Bvkm/PJ</t>
  </si>
  <si>
    <t>LF (t/vkm)</t>
  </si>
  <si>
    <t>Gtkm/PJ = B×LF</t>
  </si>
  <si>
    <t>Gtkm/PJ = 1/MJ</t>
  </si>
  <si>
    <t>HTR_DST_N 2020</t>
  </si>
  <si>
    <t>HTR_ELC_N 2020</t>
  </si>
  <si>
    <t>HTR_FCELL_N 2025</t>
  </si>
  <si>
    <t>✓ Se col D = col F per ogni riga → le due formule sono equivalenti. Verificato per tutti e 12 i dati HTR D5 del foglio 04.</t>
  </si>
  <si>
    <t>Demand aggregata TRA_FRG [Gtkm] — 2020-2050</t>
  </si>
  <si>
    <t>TRA_FRG = HTR_D5 + RAIL + NAV. HTR: Bvkm×16.596. RAIL/NAV: JRC storico + proiezioni. Tassi da validare.</t>
  </si>
  <si>
    <t>Modo [Gtkm]</t>
  </si>
  <si>
    <t>2025</t>
  </si>
  <si>
    <t>2030</t>
  </si>
  <si>
    <t>2035</t>
  </si>
  <si>
    <t>2040</t>
  </si>
  <si>
    <t>2045</t>
  </si>
  <si>
    <t>2050</t>
  </si>
  <si>
    <t>TRA_ROA_HTR_D5_FRG</t>
  </si>
  <si>
    <t>TRA_RAIL_FRG</t>
  </si>
  <si>
    <t>TRA_NAV_DOM_FRG</t>
  </si>
  <si>
    <t>══ TRA_FRG TOTALE [Gtkm] ══</t>
  </si>
  <si>
    <t>⚠ Tassi crescita: RAIL +1.5%/y (PNRR), NAV +0.5%/y, HTR da DB. Da validare con prof.</t>
  </si>
  <si>
    <t>TEMOA SQL — INSERT/UPDATE pronti per Transport.sql (v2)</t>
  </si>
  <si>
    <t>⚠ Sostituire {placeholder} con i valori dalla colonna E del foglio 04 e dalla riga 9 del foglio 07.</t>
  </si>
  <si>
    <t>-- =========================================================</t>
  </si>
  <si>
    <t>-- 1) Nuova commodity aggregata</t>
  </si>
  <si>
    <t>INSERT INTO "commodities" VALUES ('TRA_FRG','d','Freight Transport Aggregated [Gtkm]');</t>
  </si>
  <si>
    <t>-- 2) Linker techs (1:1 modal shift aggregators)</t>
  </si>
  <si>
    <t>INSERT INTO "technologies" VALUES ('TRA_LNK_ROA_HTR_D5','p','TRA','Modal Shift Link - HTR D5','');</t>
  </si>
  <si>
    <t>INSERT INTO "technologies" VALUES ('TRA_LNK_RAIL_FRG','p','TRA','Modal Shift Link - Rail Freight','');</t>
  </si>
  <si>
    <t>INSERT INTO "technologies" VALUES ('TRA_LNK_NAV_DOM','p','TRA','Modal Shift Link - Nav Dom','');</t>
  </si>
  <si>
    <t>INSERT INTO "tech_annual" VALUES ('TRA_LNK_ROA_HTR_D5','');</t>
  </si>
  <si>
    <t>INSERT INTO "tech_annual" VALUES ('TRA_LNK_RAIL_FRG','');</t>
  </si>
  <si>
    <t>INSERT INTO "tech_annual" VALUES ('TRA_LNK_NAV_DOM','');</t>
  </si>
  <si>
    <t>-- 3) Efficiency linker = 1:1 (Gtkm → Gtkm, no loss)</t>
  </si>
  <si>
    <t>INSERT INTO "Efficiency" VALUES ('IT','TRA_ROA_HTR_D5_OUT','TRA_LNK_ROA_HTR_D5',2020,'TRA_FRG',1.0,'Gtkm/Gtkm');</t>
  </si>
  <si>
    <t>INSERT INTO "Efficiency" VALUES ('IT','TRA_RAIL_FRG_OUT','TRA_LNK_RAIL_FRG',2020,'TRA_FRG',1.0,'Gtkm/Gtkm');</t>
  </si>
  <si>
    <t>INSERT INTO "Efficiency" VALUES ('IT','TRA_NAV_DOM_OUT','TRA_LNK_NAV_DOM',2020,'TRA_FRG',1.0,'Gtkm/Gtkm');</t>
  </si>
  <si>
    <t>-- 4) Demand TRA_FRG [Gtkm]  — da foglio 07 riga 9</t>
  </si>
  <si>
    <t>INSERT INTO "Demand" VALUES ('IT',2020,'TRA_FRG',{TOT_2020},'Gtkm','sum HTR_D5+RAIL+NAV');</t>
  </si>
  <si>
    <t>INSERT INTO "Demand" VALUES ('IT',2022,'TRA_FRG',{TOT_2022},'Gtkm','sum HTR_D5+RAIL+NAV');</t>
  </si>
  <si>
    <t>INSERT INTO "Demand" VALUES ('IT',2025,'TRA_FRG',{TOT_2025},'Gtkm','sum HTR_D5+RAIL+NAV');</t>
  </si>
  <si>
    <t>INSERT INTO "Demand" VALUES ('IT',2030,'TRA_FRG',{TOT_2030},'Gtkm','sum HTR_D5+RAIL+NAV');</t>
  </si>
  <si>
    <t>INSERT INTO "Demand" VALUES ('IT',2035,'TRA_FRG',{TOT_2035},'Gtkm','sum HTR_D5+RAIL+NAV');</t>
  </si>
  <si>
    <t>INSERT INTO "Demand" VALUES ('IT',2040,'TRA_FRG',{TOT_2040},'Gtkm','sum HTR_D5+RAIL+NAV');</t>
  </si>
  <si>
    <t>INSERT INTO "Demand" VALUES ('IT',2045,'TRA_FRG',{TOT_2045},'Gtkm','sum HTR_D5+RAIL+NAV');</t>
  </si>
  <si>
    <t>INSERT INTO "Demand" VALUES ('IT',2050,'TRA_FRG',{TOT_2050},'Gtkm','sum HTR_D5+RAIL+NAV');</t>
  </si>
  <si>
    <t>-- 5) UPDATE Efficiency -&gt; Gtkm/PJ (da foglio 05)</t>
  </si>
  <si>
    <t>-- HTR DST (Gtkm/PJ = 1/MJ_tkm da v10)</t>
  </si>
  <si>
    <t>UPDATE "Efficiency" SET efficiency=1.3876, eff_units='Gtkm/PJ' WHERE tech='TRA_ROA_HTR_DST_E' AND vintage=2006;</t>
  </si>
  <si>
    <t>UPDATE "Efficiency" SET efficiency=1.5082, eff_units='Gtkm/PJ' WHERE tech='TRA_ROA_HTR_DST_N' AND vintage=2020;</t>
  </si>
  <si>
    <t>UPDATE "Efficiency" SET efficiency=1.6394, eff_units='Gtkm/PJ' WHERE tech='TRA_ROA_HTR_DST_N' AND vintage=2030;</t>
  </si>
  <si>
    <t>UPDATE "Efficiency" SET efficiency=1.8216, eff_units='Gtkm/PJ' WHERE tech='TRA_ROA_HTR_DST_N' AND vintage=2050;</t>
  </si>
  <si>
    <t>-- HTR ELC</t>
  </si>
  <si>
    <t>UPDATE "Efficiency" SET efficiency=2.828, eff_units='Gtkm/PJ' WHERE tech='TRA_ROA_HTR_ELC_N' AND vintage=2020;</t>
  </si>
  <si>
    <t>UPDATE "Efficiency" SET efficiency=3.327, eff_units='Gtkm/PJ' WHERE tech='TRA_ROA_HTR_ELC_N' AND vintage=2030;</t>
  </si>
  <si>
    <t>UPDATE "Efficiency" SET efficiency=3.9607, eff_units='Gtkm/PJ' WHERE tech='TRA_ROA_HTR_ELC_N' AND vintage=2050;</t>
  </si>
  <si>
    <t>-- HTR FCELL</t>
  </si>
  <si>
    <t>UPDATE "Efficiency" SET efficiency=2.336, eff_units='Gtkm/PJ' WHERE tech='TRA_ROA_HTR_FCELL_N' AND vintage=2025;</t>
  </si>
  <si>
    <t>UPDATE "Efficiency" SET efficiency=3.4579, eff_units='Gtkm/PJ' WHERE tech='TRA_ROA_HTR_FCELL_N' AND vintage=2050;</t>
  </si>
  <si>
    <t>-- HTR LPG / NGA</t>
  </si>
  <si>
    <t>UPDATE "Efficiency" SET efficiency=1.2066, eff_units='Gtkm/PJ' WHERE tech='TRA_ROA_HTR_LPG_N' AND vintage=2007;</t>
  </si>
  <si>
    <t>UPDATE "Efficiency" SET efficiency=1.492, eff_units='Gtkm/PJ' WHERE tech='TRA_ROA_HTR_NGA_N' AND vintage=2007;</t>
  </si>
  <si>
    <t>-- NAVIGAZIONE (Avg 2019-23 ~1.898 Gtkm/PJ) -- usare valore esatto da foglio 05 D7</t>
  </si>
  <si>
    <t>UPDATE "Efficiency" SET efficiency={NAV_GTKM_PJ}, eff_units='Gtkm/PJ' WHERE tech LIKE 'TRA_NAV_DOM%';</t>
  </si>
  <si>
    <t>-- RAIL DSL (pre-COVID 2019 ~3.541) / ELC (~8.530) -- usare valori esatti da foglio 05</t>
  </si>
  <si>
    <t>UPDATE "Efficiency" SET efficiency={RAIL_DSL_GTKM_PJ}, eff_units='Gtkm/PJ' WHERE tech='TRA_RAIL_FRG_DST_N';</t>
  </si>
  <si>
    <t>UPDATE "Efficiency" SET efficiency={RAIL_ELC_GTKM_PJ}, eff_units='Gtkm/PJ' WHERE tech='TRA_RAIL_FRG_ELC_N';</t>
  </si>
  <si>
    <t>Note metodologiche — v2</t>
  </si>
  <si>
    <t>Correzioni v1 → v2</t>
  </si>
  <si>
    <t>BUG1</t>
  </si>
  <si>
    <t>Formula "=1E9/D{r}" produceva ~10^-9 invece di ~10^9 Gtkm/PJ. LibreOffice interpreta "1E9" come "1 × cell(E9)", non come 10^9. FIX: formula corretta = "=1/D{r}" (poiché Gtkm/PJ = 1/MJ_tkm per definizione algebrica). VERIFICATO.</t>
  </si>
  <si>
    <t>BUG2</t>
  </si>
  <si>
    <t>Nomi tech HTR sbagliati: BEV_N→ELC_N, FCEV_N→FCELL_N, H2_ICE_N inesistente, BIO_N inesistente. FIX: 7 tech reali da 13_TEMOA_Ready v10 (DST_E, DST_N, ELC_N, FCELL_N, LPG_N, NGA_N, BIO_E-anomalia).</t>
  </si>
  <si>
    <t>BUG3</t>
  </si>
  <si>
    <t>Valori MJ/tkm HTR erano placeholder fittizi (es. DST 0.525 vs reale 0.663). FIX: valori esatti da v10 (DST_N 2020=0.663021, ELC_N 2020=0.353611, FCELL_N 2025=0.428081...).</t>
  </si>
  <si>
    <t>BUG4</t>
  </si>
  <si>
    <t>LF HTR D5 = 17 (assunto genericamente). FIX: 16.596 dalla colonna eff_notes del v10.</t>
  </si>
  <si>
    <t>✓ Conferma operato utente</t>
  </si>
  <si>
    <t>✓ Formula Gtkm/PJ = 1/(MJ/tkm) aggiunta nella colonna F della v1: CORRETTA. Dimostrazione algebrica nel foglio 01.</t>
  </si>
  <si>
    <t>✓ Cross-check Gtkm/PJ = Bvkm/PJ × LF: matematicamente identico, verificato su tutte le 11 righe HTR D5 valide del v10.</t>
  </si>
  <si>
    <t>✓ Gtkm/PJ è l'unità operativa corretta per TEMOA dato che demand e efficiency devono essere in unità coerenti (Gtkm).</t>
  </si>
  <si>
    <t>Domande aperte per il professore</t>
  </si>
  <si>
    <t>Q1</t>
  </si>
  <si>
    <t>Baseline efficiency Nav e Rail: Avg 2019-2023 o Pre-COVID 2019? (anomalia rail ELC 2023=4.35 vs storico ~2.80)</t>
  </si>
  <si>
    <t>Q2</t>
  </si>
  <si>
    <t>Tassi crescita demand 2025-2050: +1.5%/y rail (PNRR), +0.5%/y nav — coerenti con scenari TEMOA-Italy?</t>
  </si>
  <si>
    <t>Q3</t>
  </si>
  <si>
    <t>HTR_BIO_E D5: output_comm=TRA_ROA_MTR → da correggere nel DB o escludere dal modal shift?</t>
  </si>
  <si>
    <t>Q4</t>
  </si>
  <si>
    <t>Vincoli shift modale: MaxActivity/GrowthRateMax sui linker per evitare salti irrealistici?</t>
  </si>
  <si>
    <t>Q5</t>
  </si>
  <si>
    <t>TRA_RAIL_FRG_E (existing): quale baseline Gtkm/PJ — avg ELC 2019 (~7.30) o mix DSL/ELC 15%/85%?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</si>
</sst>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E+00"/>
    <numFmt numFmtId="165" formatCode="0.000000"/>
    <numFmt numFmtId="166" formatCode="0.0000"/>
    <numFmt numFmtId="167" formatCode="#,##0.000"/>
    <numFmt numFmtId="168" formatCode="0.0%"/>
    <numFmt numFmtId="169" formatCode="#,##0.0"/>
    <numFmt numFmtId="170" formatCode="0.00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sz val="9"/>
      <name val="Consolas"/>
      <family val="2"/>
    </font>
    <font>
      <sz val="10"/>
      <color rgb="FF0000FF"/>
      <name val="Arial"/>
      <family val="2"/>
    </font>
    <font>
      <i/>
      <sz val="9"/>
      <color rgb="FF60606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2E75B6"/>
      <name val="Arial"/>
      <family val="2"/>
    </font>
    <font>
      <b/>
      <sz val="9"/>
      <color rgb="FFC00000"/>
      <name val="Consola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F5E6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D7D7"/>
      </patternFill>
    </fill>
    <fill>
      <patternFill patternType="solid">
        <fgColor rgb="FFE2EFDA"/>
        <bgColor rgb="FFDDEBF7"/>
      </patternFill>
    </fill>
    <fill>
      <patternFill patternType="solid">
        <fgColor rgb="FFFFF5E6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FFD7D7"/>
        <bgColor rgb="FFFCE4D6"/>
      </patternFill>
    </fill>
    <fill>
      <patternFill patternType="solid">
        <fgColor rgb="FFF2F2F2"/>
        <bgColor rgb="FFFFF5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6" fontId="2" fillId="7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1" fontId="6" fillId="10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9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167" fontId="6" fillId="7" borderId="1" xfId="0" applyNumberFormat="1" applyFont="1" applyFill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4" fontId="2" fillId="7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8" borderId="1" xfId="0" applyFont="1" applyFill="1" applyBorder="1" applyAlignment="1">
      <alignment horizontal="left" wrapText="1"/>
    </xf>
    <xf numFmtId="0" fontId="11" fillId="9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5E6"/>
      <rgbColor rgb="FFF2F2F2"/>
      <rgbColor rgb="FFFCE4D6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25" customWidth="1"/>
    <col min="2" max="2" width="80" customWidth="1"/>
  </cols>
  <sheetData>
    <row r="1" spans="1:2" ht="25.5" customHeight="1" x14ac:dyDescent="0.2">
      <c r="A1" s="46" t="s">
        <v>0</v>
      </c>
      <c r="B1" s="46"/>
    </row>
    <row r="3" spans="1:2" ht="15" customHeight="1" x14ac:dyDescent="0.2">
      <c r="A3" s="3" t="s">
        <v>1</v>
      </c>
      <c r="B3" s="4" t="s">
        <v>2</v>
      </c>
    </row>
    <row r="4" spans="1:2" ht="36" customHeight="1" x14ac:dyDescent="0.2">
      <c r="A4" s="3" t="s">
        <v>3</v>
      </c>
      <c r="B4" s="4" t="s">
        <v>4</v>
      </c>
    </row>
    <row r="5" spans="1:2" ht="15" customHeight="1" x14ac:dyDescent="0.2">
      <c r="A5" s="3" t="s">
        <v>5</v>
      </c>
      <c r="B5" s="4" t="s">
        <v>6</v>
      </c>
    </row>
    <row r="6" spans="1:2" ht="15" customHeight="1" x14ac:dyDescent="0.2">
      <c r="A6" s="3" t="s">
        <v>7</v>
      </c>
      <c r="B6" s="4" t="s">
        <v>8</v>
      </c>
    </row>
    <row r="7" spans="1:2" ht="15" customHeight="1" x14ac:dyDescent="0.2">
      <c r="A7" s="3" t="s">
        <v>9</v>
      </c>
      <c r="B7" s="4" t="s">
        <v>10</v>
      </c>
    </row>
    <row r="9" spans="1:2" ht="19.5" customHeight="1" x14ac:dyDescent="0.2">
      <c r="A9" s="47" t="s">
        <v>11</v>
      </c>
      <c r="B9" s="47"/>
    </row>
    <row r="10" spans="1:2" ht="15" customHeight="1" x14ac:dyDescent="0.2">
      <c r="A10" s="5" t="s">
        <v>12</v>
      </c>
      <c r="B10" s="4" t="s">
        <v>13</v>
      </c>
    </row>
    <row r="11" spans="1:2" ht="15" customHeight="1" x14ac:dyDescent="0.2">
      <c r="A11" s="5" t="s">
        <v>14</v>
      </c>
      <c r="B11" s="4" t="s">
        <v>15</v>
      </c>
    </row>
    <row r="12" spans="1:2" ht="15" customHeight="1" x14ac:dyDescent="0.2">
      <c r="A12" s="5" t="s">
        <v>16</v>
      </c>
      <c r="B12" s="4" t="s">
        <v>17</v>
      </c>
    </row>
    <row r="13" spans="1:2" ht="15" customHeight="1" x14ac:dyDescent="0.2">
      <c r="A13" s="5" t="s">
        <v>18</v>
      </c>
      <c r="B13" s="4" t="s">
        <v>19</v>
      </c>
    </row>
    <row r="14" spans="1:2" ht="15" customHeight="1" x14ac:dyDescent="0.2">
      <c r="A14" s="5" t="s">
        <v>20</v>
      </c>
      <c r="B14" s="4" t="s">
        <v>21</v>
      </c>
    </row>
    <row r="15" spans="1:2" ht="15" customHeight="1" x14ac:dyDescent="0.2">
      <c r="A15" s="5" t="s">
        <v>22</v>
      </c>
      <c r="B15" s="4" t="s">
        <v>23</v>
      </c>
    </row>
    <row r="16" spans="1:2" ht="15" customHeight="1" x14ac:dyDescent="0.2">
      <c r="A16" s="5" t="s">
        <v>24</v>
      </c>
      <c r="B16" s="4" t="s">
        <v>25</v>
      </c>
    </row>
    <row r="17" spans="1:2" ht="15" customHeight="1" x14ac:dyDescent="0.2">
      <c r="A17" s="5" t="s">
        <v>26</v>
      </c>
      <c r="B17" s="4" t="s">
        <v>27</v>
      </c>
    </row>
    <row r="18" spans="1:2" ht="15" customHeight="1" x14ac:dyDescent="0.2">
      <c r="A18" s="5" t="s">
        <v>28</v>
      </c>
      <c r="B18" s="4" t="s">
        <v>29</v>
      </c>
    </row>
  </sheetData>
  <mergeCells count="2">
    <mergeCell ref="A1:B1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A5" zoomScale="140" zoomScaleNormal="140" workbookViewId="0">
      <selection sqref="A1:D1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46" customWidth="1"/>
    <col min="4" max="4" width="34" customWidth="1"/>
  </cols>
  <sheetData>
    <row r="1" spans="1:4" ht="25.5" customHeight="1" x14ac:dyDescent="0.2">
      <c r="A1" s="46" t="s">
        <v>30</v>
      </c>
      <c r="B1" s="46"/>
      <c r="C1" s="46"/>
      <c r="D1" s="46"/>
    </row>
    <row r="3" spans="1:4" ht="19.5" customHeight="1" x14ac:dyDescent="0.2">
      <c r="A3" s="47" t="s">
        <v>31</v>
      </c>
      <c r="B3" s="47"/>
      <c r="C3" s="47"/>
      <c r="D3" s="47"/>
    </row>
    <row r="4" spans="1:4" ht="15" customHeight="1" x14ac:dyDescent="0.2">
      <c r="A4" s="6" t="s">
        <v>32</v>
      </c>
      <c r="B4" s="6" t="s">
        <v>33</v>
      </c>
      <c r="C4" s="6" t="s">
        <v>34</v>
      </c>
      <c r="D4" s="6" t="s">
        <v>35</v>
      </c>
    </row>
    <row r="5" spans="1:4" ht="15" customHeight="1" x14ac:dyDescent="0.2">
      <c r="A5" s="4" t="s">
        <v>36</v>
      </c>
      <c r="B5" s="7">
        <v>41.868000000000002</v>
      </c>
      <c r="C5" s="4" t="s">
        <v>37</v>
      </c>
      <c r="D5" s="8" t="s">
        <v>38</v>
      </c>
    </row>
    <row r="6" spans="1:4" ht="15" customHeight="1" x14ac:dyDescent="0.2">
      <c r="A6" s="4" t="s">
        <v>36</v>
      </c>
      <c r="B6" s="7">
        <v>4.1868000000000002E-2</v>
      </c>
      <c r="C6" s="4" t="s">
        <v>39</v>
      </c>
      <c r="D6" s="8" t="s">
        <v>40</v>
      </c>
    </row>
    <row r="7" spans="1:4" ht="15" customHeight="1" x14ac:dyDescent="0.2">
      <c r="A7" s="4" t="s">
        <v>41</v>
      </c>
      <c r="B7" s="7">
        <v>1000000000</v>
      </c>
      <c r="C7" s="4" t="s">
        <v>42</v>
      </c>
      <c r="D7" s="8" t="s">
        <v>43</v>
      </c>
    </row>
    <row r="8" spans="1:4" ht="15" customHeight="1" x14ac:dyDescent="0.2">
      <c r="A8" s="4" t="s">
        <v>44</v>
      </c>
      <c r="B8" s="7">
        <v>1000000</v>
      </c>
      <c r="C8" s="4" t="s">
        <v>45</v>
      </c>
      <c r="D8" s="8" t="s">
        <v>46</v>
      </c>
    </row>
    <row r="9" spans="1:4" ht="15" customHeight="1" x14ac:dyDescent="0.2">
      <c r="A9" s="4" t="s">
        <v>47</v>
      </c>
      <c r="B9" s="7">
        <v>1000000000</v>
      </c>
      <c r="C9" s="4" t="s">
        <v>45</v>
      </c>
      <c r="D9" s="8" t="s">
        <v>48</v>
      </c>
    </row>
    <row r="10" spans="1:4" ht="15" customHeight="1" x14ac:dyDescent="0.2">
      <c r="A10" s="4" t="s">
        <v>49</v>
      </c>
      <c r="B10" s="7">
        <v>1000000000</v>
      </c>
      <c r="C10" s="4" t="s">
        <v>50</v>
      </c>
      <c r="D10" s="8" t="s">
        <v>51</v>
      </c>
    </row>
    <row r="12" spans="1:4" ht="19.5" customHeight="1" x14ac:dyDescent="0.2">
      <c r="A12" s="47" t="s">
        <v>52</v>
      </c>
      <c r="B12" s="47"/>
      <c r="C12" s="47"/>
      <c r="D12" s="47"/>
    </row>
    <row r="13" spans="1:4" ht="15" customHeight="1" x14ac:dyDescent="0.2">
      <c r="A13" s="48" t="s">
        <v>53</v>
      </c>
      <c r="B13" s="48"/>
      <c r="C13" s="48"/>
      <c r="D13" s="48"/>
    </row>
    <row r="14" spans="1:4" ht="15" customHeight="1" x14ac:dyDescent="0.2">
      <c r="A14" s="48" t="s">
        <v>54</v>
      </c>
      <c r="B14" s="48"/>
      <c r="C14" s="48"/>
      <c r="D14" s="48"/>
    </row>
    <row r="15" spans="1:4" ht="15" customHeight="1" x14ac:dyDescent="0.2">
      <c r="A15" s="48" t="s">
        <v>55</v>
      </c>
      <c r="B15" s="48"/>
      <c r="C15" s="48"/>
      <c r="D15" s="48"/>
    </row>
    <row r="16" spans="1:4" ht="15" customHeight="1" x14ac:dyDescent="0.2">
      <c r="A16" s="49" t="s">
        <v>56</v>
      </c>
      <c r="B16" s="49"/>
      <c r="C16" s="49"/>
      <c r="D16" s="49"/>
    </row>
    <row r="17" spans="1:4" ht="15" customHeight="1" x14ac:dyDescent="0.2">
      <c r="A17" s="49" t="s">
        <v>57</v>
      </c>
      <c r="B17" s="49"/>
      <c r="C17" s="49"/>
      <c r="D17" s="49"/>
    </row>
    <row r="18" spans="1:4" ht="15" customHeight="1" x14ac:dyDescent="0.2">
      <c r="A18" s="49" t="s">
        <v>58</v>
      </c>
      <c r="B18" s="49"/>
      <c r="C18" s="49"/>
      <c r="D18" s="49"/>
    </row>
    <row r="19" spans="1:4" ht="15" customHeight="1" x14ac:dyDescent="0.2">
      <c r="A19" s="50" t="s">
        <v>59</v>
      </c>
      <c r="B19" s="50"/>
      <c r="C19" s="50"/>
      <c r="D19" s="50"/>
    </row>
    <row r="21" spans="1:4" ht="19.5" customHeight="1" x14ac:dyDescent="0.2">
      <c r="A21" s="47" t="s">
        <v>60</v>
      </c>
      <c r="B21" s="47"/>
      <c r="C21" s="47"/>
      <c r="D21" s="47"/>
    </row>
    <row r="22" spans="1:4" ht="15" customHeight="1" x14ac:dyDescent="0.2">
      <c r="A22" s="6" t="s">
        <v>61</v>
      </c>
      <c r="B22" s="6" t="s">
        <v>62</v>
      </c>
      <c r="C22" s="6" t="s">
        <v>63</v>
      </c>
      <c r="D22" s="6" t="s">
        <v>64</v>
      </c>
    </row>
    <row r="23" spans="1:4" ht="15" customHeight="1" x14ac:dyDescent="0.2">
      <c r="A23" s="4" t="s">
        <v>65</v>
      </c>
      <c r="B23" s="9">
        <v>0.66302099999999997</v>
      </c>
      <c r="C23" s="10">
        <f t="shared" ref="C23:C28" si="0">1/B23</f>
        <v>1.5082478533862427</v>
      </c>
      <c r="D23" s="11">
        <f>0.09088*16.596</f>
        <v>1.5082444800000001</v>
      </c>
    </row>
    <row r="24" spans="1:4" ht="15" customHeight="1" x14ac:dyDescent="0.2">
      <c r="A24" s="4" t="s">
        <v>66</v>
      </c>
      <c r="B24" s="9">
        <v>0.35361100000000001</v>
      </c>
      <c r="C24" s="10">
        <f t="shared" si="0"/>
        <v>2.827966324577007</v>
      </c>
      <c r="D24" s="11">
        <f>0.1704*16.596</f>
        <v>2.8279584</v>
      </c>
    </row>
    <row r="25" spans="1:4" ht="15" customHeight="1" x14ac:dyDescent="0.2">
      <c r="A25" s="4" t="s">
        <v>67</v>
      </c>
      <c r="B25" s="9">
        <v>0.42808099999999999</v>
      </c>
      <c r="C25" s="10">
        <f t="shared" si="0"/>
        <v>2.3360065034421056</v>
      </c>
      <c r="D25" s="11">
        <f>0.140757*16.596</f>
        <v>2.3360031719999999</v>
      </c>
    </row>
    <row r="26" spans="1:4" ht="15" customHeight="1" x14ac:dyDescent="0.2">
      <c r="A26" s="4" t="s">
        <v>68</v>
      </c>
      <c r="B26" s="9">
        <v>0.29642400000000002</v>
      </c>
      <c r="C26" s="10">
        <f t="shared" si="0"/>
        <v>3.3735460016732786</v>
      </c>
      <c r="D26" s="12" t="s">
        <v>69</v>
      </c>
    </row>
    <row r="27" spans="1:4" ht="15" customHeight="1" x14ac:dyDescent="0.2">
      <c r="A27" s="4" t="s">
        <v>70</v>
      </c>
      <c r="B27" s="9">
        <v>0.13691200000000001</v>
      </c>
      <c r="C27" s="10">
        <f t="shared" si="0"/>
        <v>7.303961668809162</v>
      </c>
      <c r="D27" s="12" t="s">
        <v>69</v>
      </c>
    </row>
    <row r="28" spans="1:4" ht="15" customHeight="1" x14ac:dyDescent="0.2">
      <c r="A28" s="4" t="s">
        <v>71</v>
      </c>
      <c r="B28" s="9">
        <v>0.52677700000000005</v>
      </c>
      <c r="C28" s="10">
        <f t="shared" si="0"/>
        <v>1.8983364877357969</v>
      </c>
      <c r="D28" s="12" t="s">
        <v>69</v>
      </c>
    </row>
  </sheetData>
  <mergeCells count="11">
    <mergeCell ref="A1:D1"/>
    <mergeCell ref="A3:D3"/>
    <mergeCell ref="A12:D12"/>
    <mergeCell ref="A13:D13"/>
    <mergeCell ref="A14:D14"/>
    <mergeCell ref="A21:D21"/>
    <mergeCell ref="A15:D15"/>
    <mergeCell ref="A16:D16"/>
    <mergeCell ref="A17:D17"/>
    <mergeCell ref="A18:D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zoomScale="140" zoomScaleNormal="140" workbookViewId="0">
      <selection activeCell="B18" sqref="B18"/>
    </sheetView>
  </sheetViews>
  <sheetFormatPr baseColWidth="10" defaultColWidth="8.6640625" defaultRowHeight="15" x14ac:dyDescent="0.2"/>
  <cols>
    <col min="1" max="1" width="24" customWidth="1"/>
    <col min="2" max="5" width="11" customWidth="1"/>
    <col min="6" max="6" width="12" bestFit="1" customWidth="1"/>
    <col min="7" max="7" width="13" customWidth="1"/>
    <col min="8" max="9" width="14" customWidth="1"/>
    <col min="10" max="10" width="13" customWidth="1"/>
  </cols>
  <sheetData>
    <row r="1" spans="1:10" ht="25.5" customHeight="1" x14ac:dyDescent="0.2">
      <c r="A1" s="46" t="s">
        <v>72</v>
      </c>
      <c r="B1" s="46"/>
      <c r="C1" s="46"/>
      <c r="D1" s="46"/>
      <c r="E1" s="46"/>
      <c r="F1" s="46"/>
      <c r="G1" s="46"/>
      <c r="H1" s="46"/>
      <c r="I1" s="46"/>
      <c r="J1" s="46"/>
    </row>
    <row r="3" spans="1:10" ht="27.75" customHeight="1" x14ac:dyDescent="0.2">
      <c r="A3" s="51" t="s">
        <v>73</v>
      </c>
      <c r="B3" s="51"/>
      <c r="C3" s="51"/>
      <c r="D3" s="51"/>
      <c r="E3" s="51"/>
      <c r="F3" s="51"/>
      <c r="G3" s="51"/>
      <c r="H3" s="51"/>
      <c r="I3" s="51"/>
      <c r="J3" s="51"/>
    </row>
    <row r="5" spans="1:10" ht="19.5" customHeight="1" x14ac:dyDescent="0.2">
      <c r="A5" s="47" t="s">
        <v>74</v>
      </c>
      <c r="B5" s="47"/>
      <c r="C5" s="47"/>
      <c r="D5" s="47"/>
      <c r="E5" s="47"/>
      <c r="F5" s="47"/>
      <c r="G5" s="47"/>
      <c r="H5" s="47"/>
      <c r="I5" s="47"/>
      <c r="J5" s="47"/>
    </row>
    <row r="6" spans="1:10" ht="15" customHeight="1" x14ac:dyDescent="0.2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82</v>
      </c>
      <c r="I6" s="6" t="s">
        <v>34</v>
      </c>
      <c r="J6" s="6"/>
    </row>
    <row r="7" spans="1:10" ht="15" customHeight="1" x14ac:dyDescent="0.2">
      <c r="A7" s="3" t="s">
        <v>83</v>
      </c>
      <c r="B7" s="13">
        <v>13.62581</v>
      </c>
      <c r="C7" s="13">
        <v>12.86219</v>
      </c>
      <c r="D7" s="13">
        <v>12.69177</v>
      </c>
      <c r="E7" s="13">
        <v>11.559380000000001</v>
      </c>
      <c r="F7" s="13">
        <v>12.170159999999999</v>
      </c>
      <c r="G7" s="14">
        <f>AVERAGE(B7:F7)</f>
        <v>12.581861999999997</v>
      </c>
      <c r="H7" s="13">
        <v>13.62581</v>
      </c>
      <c r="I7" s="4" t="s">
        <v>84</v>
      </c>
    </row>
    <row r="8" spans="1:10" ht="15" customHeight="1" x14ac:dyDescent="0.2">
      <c r="A8" s="3" t="s">
        <v>85</v>
      </c>
      <c r="B8" s="13">
        <v>44216.866000000002</v>
      </c>
      <c r="C8" s="13">
        <v>43318.196000000004</v>
      </c>
      <c r="D8" s="13">
        <v>42395.232000000004</v>
      </c>
      <c r="E8" s="13">
        <v>45986.078000000001</v>
      </c>
      <c r="F8" s="13">
        <v>42202.894</v>
      </c>
      <c r="G8" s="14">
        <f>AVERAGE(B8:F8)</f>
        <v>43623.853199999998</v>
      </c>
      <c r="H8" s="13">
        <v>44216.866000000002</v>
      </c>
      <c r="I8" s="4" t="s">
        <v>86</v>
      </c>
    </row>
    <row r="9" spans="1:10" ht="15" customHeight="1" x14ac:dyDescent="0.2">
      <c r="A9" s="3" t="s">
        <v>87</v>
      </c>
      <c r="B9" s="13">
        <v>602.49063000000001</v>
      </c>
      <c r="C9" s="13">
        <v>557.16697999999997</v>
      </c>
      <c r="D9" s="13">
        <v>538.07033999999999</v>
      </c>
      <c r="E9" s="13">
        <v>531.57042000000001</v>
      </c>
      <c r="F9" s="13">
        <v>513.61599000000001</v>
      </c>
      <c r="G9" s="14">
        <f>AVERAGE(B9:F9)</f>
        <v>548.58287199999995</v>
      </c>
      <c r="H9" s="13">
        <v>602.49063000000001</v>
      </c>
      <c r="I9" s="4" t="s">
        <v>88</v>
      </c>
    </row>
    <row r="11" spans="1:10" ht="19.5" customHeight="1" x14ac:dyDescent="0.2">
      <c r="A11" s="47" t="s">
        <v>89</v>
      </c>
      <c r="B11" s="47"/>
      <c r="C11" s="47"/>
      <c r="D11" s="47"/>
      <c r="E11" s="47"/>
      <c r="F11" s="47"/>
      <c r="G11" s="47"/>
      <c r="H11" s="47"/>
      <c r="I11" s="47"/>
      <c r="J11" s="47"/>
    </row>
    <row r="12" spans="1:10" ht="45.75" customHeight="1" x14ac:dyDescent="0.2">
      <c r="A12" s="6" t="s">
        <v>90</v>
      </c>
      <c r="B12" s="6" t="s">
        <v>91</v>
      </c>
      <c r="C12" s="6" t="s">
        <v>92</v>
      </c>
      <c r="D12" s="6" t="s">
        <v>62</v>
      </c>
      <c r="E12" s="6" t="s">
        <v>63</v>
      </c>
      <c r="F12" s="6" t="s">
        <v>93</v>
      </c>
      <c r="G12" s="6" t="s">
        <v>94</v>
      </c>
      <c r="H12" s="6"/>
      <c r="I12" s="6"/>
      <c r="J12" s="6"/>
    </row>
    <row r="13" spans="1:10" ht="21.75" customHeight="1" x14ac:dyDescent="0.2">
      <c r="A13" s="3" t="s">
        <v>95</v>
      </c>
      <c r="B13" s="15">
        <f>G7</f>
        <v>12.581861999999997</v>
      </c>
      <c r="C13" s="8" t="s">
        <v>96</v>
      </c>
      <c r="D13" s="16">
        <f>B13*41.868/1000</f>
        <v>0.52677739821599989</v>
      </c>
      <c r="E13" s="17">
        <f>1/D13</f>
        <v>1.8983350526932816</v>
      </c>
      <c r="F13" s="11">
        <f>G8*1000000/(G9*0.041868)/1000000000</f>
        <v>1.8993262210162949</v>
      </c>
      <c r="G13" s="18" t="str">
        <f>IF(ABS(E13-F13)&lt;0.001,"✓ OK","⚠ CHECK")</f>
        <v>✓ OK</v>
      </c>
    </row>
    <row r="14" spans="1:10" ht="21.75" customHeight="1" x14ac:dyDescent="0.2">
      <c r="A14" s="3" t="s">
        <v>97</v>
      </c>
      <c r="B14" s="15">
        <f>H7</f>
        <v>13.62581</v>
      </c>
      <c r="C14" s="8" t="s">
        <v>96</v>
      </c>
      <c r="D14" s="16">
        <f>B14*41.868/1000</f>
        <v>0.57048541308</v>
      </c>
      <c r="E14" s="17">
        <f>1/D14</f>
        <v>1.7528931977438107</v>
      </c>
      <c r="F14" s="11">
        <f>B8*1000000/(B9*0.041868)/1000000000</f>
        <v>1.7528931538450379</v>
      </c>
      <c r="G14" s="18" t="str">
        <f>IF(ABS(E14-F14)&lt;0.001,"✓ OK","⚠ CHECK")</f>
        <v>✓ OK</v>
      </c>
    </row>
    <row r="15" spans="1:10" ht="21.75" customHeight="1" x14ac:dyDescent="0.2">
      <c r="A15" s="3" t="s">
        <v>98</v>
      </c>
      <c r="B15" s="15">
        <f>F7</f>
        <v>12.170159999999999</v>
      </c>
      <c r="C15" s="8" t="s">
        <v>96</v>
      </c>
      <c r="D15" s="16">
        <f>B15*41.868/1000</f>
        <v>0.50954025887999999</v>
      </c>
      <c r="E15" s="17">
        <f>1/D15</f>
        <v>1.9625534637794075</v>
      </c>
      <c r="F15" s="11">
        <f>F8*1000000/(F9*0.041868)/1000000000</f>
        <v>1.9625533966933484</v>
      </c>
      <c r="G15" s="18" t="str">
        <f>IF(ABS(E15-F15)&lt;0.001,"✓ OK","⚠ CHECK")</f>
        <v>✓ OK</v>
      </c>
    </row>
    <row r="17" spans="1:10" ht="27.75" customHeight="1" x14ac:dyDescent="0.2">
      <c r="A17" s="52" t="s">
        <v>99</v>
      </c>
      <c r="B17" s="52"/>
      <c r="C17" s="52"/>
      <c r="D17" s="52"/>
      <c r="E17" s="52"/>
      <c r="F17" s="52"/>
      <c r="G17" s="52"/>
      <c r="H17" s="52"/>
      <c r="I17" s="52"/>
      <c r="J17" s="52"/>
    </row>
  </sheetData>
  <mergeCells count="5">
    <mergeCell ref="A1:J1"/>
    <mergeCell ref="A3:J3"/>
    <mergeCell ref="A5:J5"/>
    <mergeCell ref="A11:J11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opLeftCell="A12" zoomScale="140" zoomScaleNormal="140" workbookViewId="0">
      <selection activeCell="L22" sqref="L22"/>
    </sheetView>
  </sheetViews>
  <sheetFormatPr baseColWidth="10" defaultColWidth="8.6640625" defaultRowHeight="15" x14ac:dyDescent="0.2"/>
  <cols>
    <col min="1" max="1" width="26" customWidth="1"/>
    <col min="2" max="5" width="11" customWidth="1"/>
    <col min="6" max="6" width="12" bestFit="1" customWidth="1"/>
    <col min="7" max="7" width="13" customWidth="1"/>
    <col min="8" max="9" width="14" customWidth="1"/>
    <col min="10" max="10" width="13" customWidth="1"/>
  </cols>
  <sheetData>
    <row r="1" spans="1:10" ht="25.5" customHeight="1" x14ac:dyDescent="0.2">
      <c r="A1" s="46" t="s">
        <v>100</v>
      </c>
      <c r="B1" s="46"/>
      <c r="C1" s="46"/>
      <c r="D1" s="46"/>
      <c r="E1" s="46"/>
      <c r="F1" s="46"/>
      <c r="G1" s="46"/>
      <c r="H1" s="46"/>
      <c r="I1" s="46"/>
      <c r="J1" s="46"/>
    </row>
    <row r="3" spans="1:10" ht="27.75" customHeight="1" x14ac:dyDescent="0.2">
      <c r="A3" s="51" t="s">
        <v>101</v>
      </c>
      <c r="B3" s="51"/>
      <c r="C3" s="51"/>
      <c r="D3" s="51"/>
      <c r="E3" s="51"/>
      <c r="F3" s="51"/>
      <c r="G3" s="51"/>
      <c r="H3" s="51"/>
      <c r="I3" s="51"/>
      <c r="J3" s="51"/>
    </row>
    <row r="5" spans="1:10" ht="19.5" customHeight="1" x14ac:dyDescent="0.2">
      <c r="A5" s="47" t="s">
        <v>102</v>
      </c>
      <c r="B5" s="47"/>
      <c r="C5" s="47"/>
      <c r="D5" s="47"/>
      <c r="E5" s="47"/>
      <c r="F5" s="47"/>
      <c r="G5" s="47"/>
      <c r="H5" s="47"/>
      <c r="I5" s="47"/>
      <c r="J5" s="47"/>
    </row>
    <row r="6" spans="1:10" ht="15" customHeight="1" x14ac:dyDescent="0.2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82</v>
      </c>
      <c r="I6" s="6" t="s">
        <v>34</v>
      </c>
      <c r="J6" s="6"/>
    </row>
    <row r="7" spans="1:10" ht="15" customHeight="1" x14ac:dyDescent="0.2">
      <c r="A7" s="3" t="s">
        <v>103</v>
      </c>
      <c r="B7" s="13">
        <v>6.74472</v>
      </c>
      <c r="C7" s="13">
        <v>6.6698500000000003</v>
      </c>
      <c r="D7" s="13">
        <v>7.2331899999999996</v>
      </c>
      <c r="E7" s="13">
        <v>7.07965</v>
      </c>
      <c r="F7" s="13">
        <v>7.6724199999999998</v>
      </c>
      <c r="G7" s="14">
        <f>AVERAGE(B7:F7)</f>
        <v>7.0799660000000006</v>
      </c>
      <c r="H7" s="13">
        <v>6.74472</v>
      </c>
      <c r="I7" s="4" t="s">
        <v>84</v>
      </c>
    </row>
    <row r="8" spans="1:10" ht="15" customHeight="1" x14ac:dyDescent="0.2">
      <c r="A8" s="3" t="s">
        <v>104</v>
      </c>
      <c r="B8" s="13">
        <v>841.07299999999998</v>
      </c>
      <c r="C8" s="13">
        <v>969.70600000000002</v>
      </c>
      <c r="D8" s="13">
        <v>899.02599999999995</v>
      </c>
      <c r="E8" s="13">
        <v>264.5</v>
      </c>
      <c r="F8" s="13">
        <v>235.06899999999999</v>
      </c>
      <c r="G8" s="14">
        <f>AVERAGE(B8:F8)</f>
        <v>641.87479999999994</v>
      </c>
      <c r="H8" s="13">
        <v>841.07299999999998</v>
      </c>
      <c r="I8" s="4" t="s">
        <v>86</v>
      </c>
    </row>
    <row r="9" spans="1:10" ht="15" customHeight="1" x14ac:dyDescent="0.2">
      <c r="A9" s="3" t="s">
        <v>105</v>
      </c>
      <c r="B9" s="13">
        <v>5.6727999999999996</v>
      </c>
      <c r="C9" s="13">
        <v>6.4678000000000004</v>
      </c>
      <c r="D9" s="13">
        <v>6.5027999999999997</v>
      </c>
      <c r="E9" s="13">
        <v>1.8726</v>
      </c>
      <c r="F9" s="13">
        <v>1.8035000000000001</v>
      </c>
      <c r="G9" s="14">
        <f>AVERAGE(B9:F9)</f>
        <v>4.4638999999999998</v>
      </c>
      <c r="H9" s="13">
        <v>5.6727999999999996</v>
      </c>
      <c r="I9" s="4" t="s">
        <v>88</v>
      </c>
    </row>
    <row r="13" spans="1:10" ht="19.5" customHeight="1" x14ac:dyDescent="0.2">
      <c r="A13" s="47" t="s">
        <v>106</v>
      </c>
      <c r="B13" s="47"/>
      <c r="C13" s="47"/>
      <c r="D13" s="47"/>
      <c r="E13" s="47"/>
      <c r="F13" s="47"/>
      <c r="G13" s="47"/>
      <c r="H13" s="47"/>
      <c r="I13" s="47"/>
      <c r="J13" s="47"/>
    </row>
    <row r="14" spans="1:10" ht="15" customHeight="1" x14ac:dyDescent="0.2">
      <c r="A14" s="6" t="s">
        <v>75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81</v>
      </c>
      <c r="H14" s="6" t="s">
        <v>82</v>
      </c>
      <c r="I14" s="6" t="s">
        <v>34</v>
      </c>
      <c r="J14" s="6"/>
    </row>
    <row r="15" spans="1:10" ht="15" customHeight="1" x14ac:dyDescent="0.2">
      <c r="A15" s="3" t="s">
        <v>107</v>
      </c>
      <c r="B15" s="13">
        <v>2.80009</v>
      </c>
      <c r="C15" s="13">
        <v>2.7934399999999999</v>
      </c>
      <c r="D15" s="13">
        <v>3.2659799999999999</v>
      </c>
      <c r="E15" s="13">
        <v>3.1380400000000002</v>
      </c>
      <c r="F15" s="13">
        <v>4.3528500000000001</v>
      </c>
      <c r="G15" s="14">
        <f>AVERAGE(B15:F15)</f>
        <v>3.2700800000000001</v>
      </c>
      <c r="H15" s="13">
        <v>2.80009</v>
      </c>
      <c r="I15" s="4" t="s">
        <v>84</v>
      </c>
    </row>
    <row r="16" spans="1:10" ht="15" customHeight="1" x14ac:dyDescent="0.2">
      <c r="A16" s="3" t="s">
        <v>108</v>
      </c>
      <c r="B16" s="13">
        <v>20467.93</v>
      </c>
      <c r="C16" s="13">
        <v>19780.29</v>
      </c>
      <c r="D16" s="13">
        <v>23362.97</v>
      </c>
      <c r="E16" s="13">
        <v>24065.5</v>
      </c>
      <c r="F16" s="13">
        <v>22457.93</v>
      </c>
      <c r="G16" s="14">
        <f>AVERAGE(B16:F16)</f>
        <v>22026.923999999999</v>
      </c>
      <c r="H16" s="13">
        <v>20467.93</v>
      </c>
      <c r="I16" s="4" t="s">
        <v>86</v>
      </c>
    </row>
    <row r="17" spans="1:10" ht="15" customHeight="1" x14ac:dyDescent="0.2">
      <c r="A17" s="3" t="s">
        <v>109</v>
      </c>
      <c r="B17" s="13">
        <v>57.311999999999998</v>
      </c>
      <c r="C17" s="13">
        <v>55.255099999999999</v>
      </c>
      <c r="D17" s="13">
        <v>76.303100000000001</v>
      </c>
      <c r="E17" s="13">
        <v>75.5184</v>
      </c>
      <c r="F17" s="13">
        <v>97.756</v>
      </c>
      <c r="G17" s="14">
        <f>AVERAGE(B17:F17)</f>
        <v>72.428919999999991</v>
      </c>
      <c r="H17" s="13">
        <v>57.311999999999998</v>
      </c>
      <c r="I17" s="4" t="s">
        <v>88</v>
      </c>
    </row>
    <row r="21" spans="1:10" ht="19.5" customHeight="1" x14ac:dyDescent="0.2">
      <c r="A21" s="47" t="s">
        <v>89</v>
      </c>
      <c r="B21" s="47"/>
      <c r="C21" s="47"/>
      <c r="D21" s="47"/>
      <c r="E21" s="47"/>
      <c r="F21" s="47"/>
      <c r="G21" s="47"/>
      <c r="H21" s="47"/>
      <c r="I21" s="47"/>
      <c r="J21" s="47"/>
    </row>
    <row r="22" spans="1:10" ht="34.5" customHeight="1" x14ac:dyDescent="0.2">
      <c r="A22" s="6" t="s">
        <v>110</v>
      </c>
      <c r="B22" s="6" t="s">
        <v>111</v>
      </c>
      <c r="C22" s="6" t="s">
        <v>92</v>
      </c>
      <c r="D22" s="6" t="s">
        <v>62</v>
      </c>
      <c r="E22" s="6" t="s">
        <v>63</v>
      </c>
      <c r="F22" s="6" t="s">
        <v>112</v>
      </c>
      <c r="G22" s="6" t="s">
        <v>94</v>
      </c>
      <c r="H22" s="6"/>
      <c r="I22" s="6"/>
      <c r="J22" s="6"/>
    </row>
    <row r="23" spans="1:10" ht="23.25" customHeight="1" x14ac:dyDescent="0.2">
      <c r="A23" s="3" t="s">
        <v>113</v>
      </c>
      <c r="B23" s="15">
        <f>G7</f>
        <v>7.0799660000000006</v>
      </c>
      <c r="C23" s="8" t="s">
        <v>96</v>
      </c>
      <c r="D23" s="16">
        <f>B23*41.868/1000</f>
        <v>0.29642401648800004</v>
      </c>
      <c r="E23" s="17">
        <f>1/D23</f>
        <v>3.3735458140264503</v>
      </c>
      <c r="F23" s="11">
        <f>G8*1000000/(G9*0.041868)/1000000000</f>
        <v>3.434421965738359</v>
      </c>
      <c r="G23" s="18" t="str">
        <f>IF(ABS(E23-F23)&lt;0.001,"✓ OK","⚠ CHECK")</f>
        <v>⚠ CHECK</v>
      </c>
    </row>
    <row r="24" spans="1:10" ht="23.25" customHeight="1" x14ac:dyDescent="0.2">
      <c r="A24" s="3" t="s">
        <v>114</v>
      </c>
      <c r="B24" s="15">
        <f>G15</f>
        <v>3.2700800000000001</v>
      </c>
      <c r="C24" s="8" t="s">
        <v>96</v>
      </c>
      <c r="D24" s="16">
        <f>B24*41.868/1000</f>
        <v>0.13691170944</v>
      </c>
      <c r="E24" s="17">
        <f>1/D24</f>
        <v>7.3039771695951154</v>
      </c>
      <c r="F24" s="11">
        <f>G16*1000000/(G17*0.041868)/1000000000</f>
        <v>7.2637289258568405</v>
      </c>
      <c r="G24" s="18" t="str">
        <f>IF(ABS(E24-F24)&lt;0.001,"✓ OK","⚠ CHECK")</f>
        <v>⚠ CHECK</v>
      </c>
    </row>
    <row r="25" spans="1:10" ht="23.25" customHeight="1" x14ac:dyDescent="0.2">
      <c r="A25" s="3" t="s">
        <v>115</v>
      </c>
      <c r="B25" s="15">
        <f>H7</f>
        <v>6.74472</v>
      </c>
      <c r="C25" s="8" t="s">
        <v>96</v>
      </c>
      <c r="D25" s="16">
        <f>B25*41.868/1000</f>
        <v>0.28238793695999997</v>
      </c>
      <c r="E25" s="17">
        <f>1/D25</f>
        <v>3.5412277548585553</v>
      </c>
      <c r="F25" s="11">
        <f>H8*1000000/(H9*0.041868)/1000000000</f>
        <v>3.5412289312892731</v>
      </c>
      <c r="G25" s="18" t="str">
        <f>IF(ABS(E25-F25)&lt;0.001,"✓ OK","⚠ CHECK")</f>
        <v>✓ OK</v>
      </c>
    </row>
    <row r="26" spans="1:10" ht="23.25" customHeight="1" x14ac:dyDescent="0.2">
      <c r="A26" s="3" t="s">
        <v>116</v>
      </c>
      <c r="B26" s="15">
        <f>H15</f>
        <v>2.80009</v>
      </c>
      <c r="C26" s="8" t="s">
        <v>96</v>
      </c>
      <c r="D26" s="16">
        <f>B26*41.868/1000</f>
        <v>0.11723416812000001</v>
      </c>
      <c r="E26" s="17">
        <f>1/D26</f>
        <v>8.5299364173114416</v>
      </c>
      <c r="F26" s="11">
        <f>H16*1000000/(H17*0.041868)/1000000000</f>
        <v>8.5299432805674602</v>
      </c>
      <c r="G26" s="18" t="str">
        <f>IF(ABS(E26-F26)&lt;0.001,"✓ OK","⚠ CHECK")</f>
        <v>✓ OK</v>
      </c>
    </row>
    <row r="28" spans="1:10" ht="27.75" customHeight="1" x14ac:dyDescent="0.2">
      <c r="A28" s="53" t="s">
        <v>117</v>
      </c>
      <c r="B28" s="53"/>
      <c r="C28" s="53"/>
      <c r="D28" s="53"/>
      <c r="E28" s="53"/>
      <c r="F28" s="53"/>
      <c r="G28" s="53"/>
      <c r="H28" s="53"/>
      <c r="I28" s="53"/>
      <c r="J28" s="53"/>
    </row>
    <row r="29" spans="1:10" ht="42" customHeight="1" x14ac:dyDescent="0.2">
      <c r="A29" s="54" t="s">
        <v>118</v>
      </c>
      <c r="B29" s="54"/>
      <c r="C29" s="54"/>
      <c r="D29" s="54"/>
      <c r="E29" s="54"/>
      <c r="F29" s="54"/>
      <c r="G29" s="54"/>
      <c r="H29" s="54"/>
      <c r="I29" s="54"/>
      <c r="J29" s="54"/>
    </row>
  </sheetData>
  <mergeCells count="7">
    <mergeCell ref="A28:J28"/>
    <mergeCell ref="A29:J29"/>
    <mergeCell ref="A1:J1"/>
    <mergeCell ref="A3:J3"/>
    <mergeCell ref="A5:J5"/>
    <mergeCell ref="A13:J13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topLeftCell="A2" zoomScale="160" zoomScaleNormal="160" workbookViewId="0">
      <selection activeCell="E6" sqref="E6"/>
    </sheetView>
  </sheetViews>
  <sheetFormatPr baseColWidth="10" defaultColWidth="8.6640625" defaultRowHeight="15" x14ac:dyDescent="0.2"/>
  <cols>
    <col min="1" max="1" width="26" customWidth="1"/>
    <col min="2" max="2" width="8" customWidth="1"/>
    <col min="3" max="5" width="14" customWidth="1"/>
    <col min="6" max="6" width="16" customWidth="1"/>
    <col min="7" max="7" width="30" customWidth="1"/>
  </cols>
  <sheetData>
    <row r="1" spans="1:7" ht="25.5" customHeight="1" x14ac:dyDescent="0.2">
      <c r="A1" s="46" t="s">
        <v>119</v>
      </c>
      <c r="B1" s="46"/>
      <c r="C1" s="46"/>
      <c r="D1" s="46"/>
      <c r="E1" s="46"/>
      <c r="F1" s="46"/>
      <c r="G1" s="46"/>
    </row>
    <row r="3" spans="1:7" ht="27.75" customHeight="1" x14ac:dyDescent="0.2">
      <c r="A3" s="52" t="s">
        <v>120</v>
      </c>
      <c r="B3" s="52"/>
      <c r="C3" s="52"/>
      <c r="D3" s="52"/>
      <c r="E3" s="52"/>
      <c r="F3" s="52"/>
      <c r="G3" s="52"/>
    </row>
    <row r="5" spans="1:7" ht="23.25" customHeight="1" x14ac:dyDescent="0.2">
      <c r="A5" s="6" t="s">
        <v>110</v>
      </c>
      <c r="B5" s="6" t="s">
        <v>121</v>
      </c>
      <c r="C5" s="6" t="s">
        <v>122</v>
      </c>
      <c r="D5" s="6" t="s">
        <v>123</v>
      </c>
      <c r="E5" s="6" t="s">
        <v>63</v>
      </c>
      <c r="F5" s="6" t="s">
        <v>124</v>
      </c>
      <c r="G5" s="6" t="s">
        <v>125</v>
      </c>
    </row>
    <row r="6" spans="1:7" ht="15" customHeight="1" x14ac:dyDescent="0.2">
      <c r="A6" s="3" t="s">
        <v>126</v>
      </c>
      <c r="B6" s="19">
        <v>2006</v>
      </c>
      <c r="C6" s="9">
        <v>8.3610000000000004E-2</v>
      </c>
      <c r="D6" s="9">
        <v>0.72067499999999995</v>
      </c>
      <c r="E6" s="17">
        <f t="shared" ref="E6:E16" si="0">1/D6</f>
        <v>1.3875880251153434</v>
      </c>
      <c r="F6" s="11">
        <f t="shared" ref="F6:F16" si="1">C6*16.596</f>
        <v>1.3875915600000002</v>
      </c>
      <c r="G6" s="8" t="s">
        <v>127</v>
      </c>
    </row>
    <row r="7" spans="1:7" ht="15" customHeight="1" x14ac:dyDescent="0.2">
      <c r="A7" s="3" t="s">
        <v>128</v>
      </c>
      <c r="B7" s="19">
        <v>2020</v>
      </c>
      <c r="C7" s="9">
        <v>9.0880000000000002E-2</v>
      </c>
      <c r="D7" s="9">
        <v>0.66302099999999997</v>
      </c>
      <c r="E7" s="17">
        <f t="shared" si="0"/>
        <v>1.5082478533862427</v>
      </c>
      <c r="F7" s="11">
        <f t="shared" si="1"/>
        <v>1.5082444800000001</v>
      </c>
      <c r="G7" s="8" t="s">
        <v>129</v>
      </c>
    </row>
    <row r="8" spans="1:7" ht="15" customHeight="1" x14ac:dyDescent="0.2">
      <c r="A8" s="3" t="s">
        <v>128</v>
      </c>
      <c r="B8" s="19">
        <v>2030</v>
      </c>
      <c r="C8" s="9">
        <v>9.8782999999999996E-2</v>
      </c>
      <c r="D8" s="9">
        <v>0.60997900000000005</v>
      </c>
      <c r="E8" s="17">
        <f t="shared" si="0"/>
        <v>1.6394007006798594</v>
      </c>
      <c r="F8" s="11">
        <f t="shared" si="1"/>
        <v>1.639402668</v>
      </c>
      <c r="G8" s="8" t="s">
        <v>130</v>
      </c>
    </row>
    <row r="9" spans="1:7" ht="15" customHeight="1" x14ac:dyDescent="0.2">
      <c r="A9" s="3" t="s">
        <v>128</v>
      </c>
      <c r="B9" s="19">
        <v>2050</v>
      </c>
      <c r="C9" s="9">
        <v>0.109759</v>
      </c>
      <c r="D9" s="9">
        <v>0.54898100000000005</v>
      </c>
      <c r="E9" s="17">
        <f t="shared" si="0"/>
        <v>1.8215566658955409</v>
      </c>
      <c r="F9" s="11">
        <f t="shared" si="1"/>
        <v>1.821560364</v>
      </c>
      <c r="G9" s="8" t="s">
        <v>131</v>
      </c>
    </row>
    <row r="10" spans="1:7" ht="15" customHeight="1" x14ac:dyDescent="0.2">
      <c r="A10" s="3" t="s">
        <v>132</v>
      </c>
      <c r="B10" s="19">
        <v>2020</v>
      </c>
      <c r="C10" s="9">
        <v>0.1704</v>
      </c>
      <c r="D10" s="9">
        <v>0.35361100000000001</v>
      </c>
      <c r="E10" s="17">
        <f t="shared" si="0"/>
        <v>2.827966324577007</v>
      </c>
      <c r="F10" s="11">
        <f t="shared" si="1"/>
        <v>2.8279584</v>
      </c>
      <c r="G10" s="8" t="s">
        <v>133</v>
      </c>
    </row>
    <row r="11" spans="1:7" ht="15" customHeight="1" x14ac:dyDescent="0.2">
      <c r="A11" s="3" t="s">
        <v>132</v>
      </c>
      <c r="B11" s="19">
        <v>2030</v>
      </c>
      <c r="C11" s="9">
        <v>0.20047100000000001</v>
      </c>
      <c r="D11" s="9">
        <v>0.30057</v>
      </c>
      <c r="E11" s="17">
        <f t="shared" si="0"/>
        <v>3.327012010513358</v>
      </c>
      <c r="F11" s="11">
        <f t="shared" si="1"/>
        <v>3.3270167160000002</v>
      </c>
      <c r="G11" s="8" t="s">
        <v>130</v>
      </c>
    </row>
    <row r="12" spans="1:7" ht="15" customHeight="1" x14ac:dyDescent="0.2">
      <c r="A12" s="3" t="s">
        <v>132</v>
      </c>
      <c r="B12" s="19">
        <v>2050</v>
      </c>
      <c r="C12" s="9">
        <v>0.23865600000000001</v>
      </c>
      <c r="D12" s="9">
        <v>0.25247799999999998</v>
      </c>
      <c r="E12" s="17">
        <f t="shared" si="0"/>
        <v>3.9607411338809722</v>
      </c>
      <c r="F12" s="11">
        <f t="shared" si="1"/>
        <v>3.9607349760000004</v>
      </c>
      <c r="G12" s="8" t="s">
        <v>131</v>
      </c>
    </row>
    <row r="13" spans="1:7" ht="21.75" customHeight="1" x14ac:dyDescent="0.2">
      <c r="A13" s="3" t="s">
        <v>134</v>
      </c>
      <c r="B13" s="19">
        <v>2025</v>
      </c>
      <c r="C13" s="9">
        <v>0.14075699999999999</v>
      </c>
      <c r="D13" s="9">
        <v>0.42808099999999999</v>
      </c>
      <c r="E13" s="17">
        <f t="shared" si="0"/>
        <v>2.3360065034421056</v>
      </c>
      <c r="F13" s="11">
        <f t="shared" si="1"/>
        <v>2.3360031719999999</v>
      </c>
      <c r="G13" s="8" t="s">
        <v>135</v>
      </c>
    </row>
    <row r="14" spans="1:7" ht="15" customHeight="1" x14ac:dyDescent="0.2">
      <c r="A14" s="3" t="s">
        <v>134</v>
      </c>
      <c r="B14" s="19">
        <v>2050</v>
      </c>
      <c r="C14" s="9">
        <v>0.20835799999999999</v>
      </c>
      <c r="D14" s="9">
        <v>0.289192</v>
      </c>
      <c r="E14" s="17">
        <f t="shared" si="0"/>
        <v>3.4579103156380535</v>
      </c>
      <c r="F14" s="11">
        <f t="shared" si="1"/>
        <v>3.4579093679999997</v>
      </c>
      <c r="G14" s="8" t="s">
        <v>131</v>
      </c>
    </row>
    <row r="15" spans="1:7" ht="15" customHeight="1" x14ac:dyDescent="0.2">
      <c r="A15" s="3" t="s">
        <v>136</v>
      </c>
      <c r="B15" s="19">
        <v>2007</v>
      </c>
      <c r="C15" s="9">
        <v>7.2704000000000005E-2</v>
      </c>
      <c r="D15" s="9">
        <v>0.82877599999999996</v>
      </c>
      <c r="E15" s="17">
        <f t="shared" si="0"/>
        <v>1.206598646678958</v>
      </c>
      <c r="F15" s="11">
        <f t="shared" si="1"/>
        <v>1.206595584</v>
      </c>
      <c r="G15" s="8" t="s">
        <v>137</v>
      </c>
    </row>
    <row r="16" spans="1:7" ht="15" customHeight="1" x14ac:dyDescent="0.2">
      <c r="A16" s="3" t="s">
        <v>138</v>
      </c>
      <c r="B16" s="19">
        <v>2007</v>
      </c>
      <c r="C16" s="9">
        <v>8.9902999999999997E-2</v>
      </c>
      <c r="D16" s="9">
        <v>0.67022800000000005</v>
      </c>
      <c r="E16" s="17">
        <f t="shared" si="0"/>
        <v>1.492029577994354</v>
      </c>
      <c r="F16" s="11">
        <f t="shared" si="1"/>
        <v>1.492030188</v>
      </c>
      <c r="G16" s="8" t="s">
        <v>139</v>
      </c>
    </row>
    <row r="17" spans="1:7" ht="27.75" customHeight="1" x14ac:dyDescent="0.2">
      <c r="A17" s="52" t="s">
        <v>140</v>
      </c>
      <c r="B17" s="52"/>
      <c r="C17" s="52"/>
      <c r="D17" s="52"/>
      <c r="E17" s="52"/>
      <c r="F17" s="52"/>
      <c r="G17" s="52"/>
    </row>
    <row r="19" spans="1:7" ht="15" customHeight="1" x14ac:dyDescent="0.2">
      <c r="A19" s="55" t="s">
        <v>141</v>
      </c>
      <c r="B19" s="55"/>
      <c r="C19" s="55"/>
      <c r="D19" s="55"/>
      <c r="E19" s="55"/>
      <c r="F19" s="55"/>
      <c r="G19" s="55"/>
    </row>
    <row r="20" spans="1:7" ht="34.5" customHeight="1" x14ac:dyDescent="0.2">
      <c r="A20" s="20" t="s">
        <v>142</v>
      </c>
      <c r="B20" s="21">
        <v>2006</v>
      </c>
      <c r="C20" s="22">
        <v>7.8206999999999999E-2</v>
      </c>
      <c r="D20" s="22">
        <v>1.4008</v>
      </c>
      <c r="E20" s="23">
        <f>1/D20</f>
        <v>0.71387778412335801</v>
      </c>
      <c r="F20" s="24">
        <f>C20*9.128</f>
        <v>0.71387349600000005</v>
      </c>
      <c r="G20" s="20" t="s">
        <v>143</v>
      </c>
    </row>
    <row r="21" spans="1:7" ht="27.75" customHeight="1" x14ac:dyDescent="0.2">
      <c r="A21" s="56" t="s">
        <v>144</v>
      </c>
      <c r="B21" s="56"/>
      <c r="C21" s="56"/>
      <c r="D21" s="56"/>
      <c r="E21" s="56"/>
      <c r="F21" s="56"/>
      <c r="G21" s="56"/>
    </row>
  </sheetData>
  <mergeCells count="5">
    <mergeCell ref="A1:G1"/>
    <mergeCell ref="A3:G3"/>
    <mergeCell ref="A17:G17"/>
    <mergeCell ref="A19:G19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10" zoomScale="140" zoomScaleNormal="140" workbookViewId="0">
      <selection sqref="A1:G1"/>
    </sheetView>
  </sheetViews>
  <sheetFormatPr baseColWidth="10" defaultColWidth="8.6640625" defaultRowHeight="15" x14ac:dyDescent="0.2"/>
  <cols>
    <col min="1" max="1" width="30" customWidth="1"/>
    <col min="2" max="2" width="14" customWidth="1"/>
    <col min="3" max="3" width="16" customWidth="1"/>
    <col min="4" max="4" width="14" customWidth="1"/>
    <col min="5" max="5" width="10" customWidth="1"/>
    <col min="6" max="7" width="14" customWidth="1"/>
  </cols>
  <sheetData>
    <row r="1" spans="1:7" ht="25.5" customHeight="1" x14ac:dyDescent="0.2">
      <c r="A1" s="46" t="s">
        <v>145</v>
      </c>
      <c r="B1" s="46"/>
      <c r="C1" s="46"/>
      <c r="D1" s="46"/>
      <c r="E1" s="46"/>
      <c r="F1" s="46"/>
      <c r="G1" s="46"/>
    </row>
    <row r="3" spans="1:7" ht="27.75" customHeight="1" x14ac:dyDescent="0.2">
      <c r="A3" s="51" t="s">
        <v>146</v>
      </c>
      <c r="B3" s="51"/>
      <c r="C3" s="51"/>
      <c r="D3" s="51"/>
      <c r="E3" s="51"/>
      <c r="F3" s="51"/>
      <c r="G3" s="51"/>
    </row>
    <row r="5" spans="1:7" ht="19.5" customHeight="1" x14ac:dyDescent="0.2">
      <c r="A5" s="47" t="s">
        <v>147</v>
      </c>
      <c r="B5" s="47"/>
      <c r="C5" s="47"/>
      <c r="D5" s="47"/>
      <c r="E5" s="47"/>
      <c r="F5" s="47"/>
      <c r="G5" s="47"/>
    </row>
    <row r="6" spans="1:7" ht="15" customHeight="1" x14ac:dyDescent="0.2">
      <c r="A6" s="6" t="s">
        <v>110</v>
      </c>
      <c r="B6" s="6" t="s">
        <v>121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</row>
    <row r="7" spans="1:7" ht="15" customHeight="1" x14ac:dyDescent="0.2">
      <c r="A7" s="3" t="s">
        <v>153</v>
      </c>
      <c r="B7" s="19" t="s">
        <v>154</v>
      </c>
      <c r="C7" s="25" t="s">
        <v>155</v>
      </c>
      <c r="D7" s="26">
        <f>'02_Nav_Efficiency'!E13</f>
        <v>1.8983350526932816</v>
      </c>
      <c r="E7" s="27">
        <v>0</v>
      </c>
      <c r="F7" s="10">
        <f t="shared" ref="F7:F14" si="0">D7*(1+E7)^10</f>
        <v>1.8983350526932816</v>
      </c>
      <c r="G7" s="10">
        <f t="shared" ref="G7:G14" si="1">D7*(1+E7)^30</f>
        <v>1.8983350526932816</v>
      </c>
    </row>
    <row r="8" spans="1:7" ht="15" customHeight="1" x14ac:dyDescent="0.2">
      <c r="A8" s="3" t="s">
        <v>156</v>
      </c>
      <c r="B8" s="19" t="s">
        <v>157</v>
      </c>
      <c r="C8" s="25" t="s">
        <v>158</v>
      </c>
      <c r="D8" s="26">
        <f>'02_Nav_Efficiency'!E13</f>
        <v>1.8983350526932816</v>
      </c>
      <c r="E8" s="27">
        <v>5.0000000000000001E-3</v>
      </c>
      <c r="F8" s="10">
        <f t="shared" si="0"/>
        <v>1.9954161579456744</v>
      </c>
      <c r="G8" s="10">
        <f t="shared" si="1"/>
        <v>2.2047264875611079</v>
      </c>
    </row>
    <row r="9" spans="1:7" ht="15" customHeight="1" x14ac:dyDescent="0.2">
      <c r="A9" s="3" t="s">
        <v>159</v>
      </c>
      <c r="B9" s="19" t="s">
        <v>157</v>
      </c>
      <c r="C9" s="25" t="s">
        <v>160</v>
      </c>
      <c r="D9" s="26">
        <f>'02_Nav_Efficiency'!E13*0.99</f>
        <v>1.8793517021663488</v>
      </c>
      <c r="E9" s="27">
        <v>5.0000000000000001E-3</v>
      </c>
      <c r="F9" s="10">
        <f t="shared" si="0"/>
        <v>1.9754619963662177</v>
      </c>
      <c r="G9" s="10">
        <f t="shared" si="1"/>
        <v>2.182679222685497</v>
      </c>
    </row>
    <row r="10" spans="1:7" ht="15" customHeight="1" x14ac:dyDescent="0.2">
      <c r="A10" s="3" t="s">
        <v>161</v>
      </c>
      <c r="B10" s="19" t="s">
        <v>162</v>
      </c>
      <c r="C10" s="25" t="s">
        <v>163</v>
      </c>
      <c r="D10" s="26">
        <f>'02_Nav_Efficiency'!E13*1.05</f>
        <v>1.9932518053279458</v>
      </c>
      <c r="E10" s="27">
        <v>5.0000000000000001E-3</v>
      </c>
      <c r="F10" s="10">
        <f t="shared" si="0"/>
        <v>2.0951869658429585</v>
      </c>
      <c r="G10" s="10">
        <f t="shared" si="1"/>
        <v>2.3149628119391634</v>
      </c>
    </row>
    <row r="11" spans="1:7" ht="15" customHeight="1" x14ac:dyDescent="0.2">
      <c r="A11" s="3" t="s">
        <v>164</v>
      </c>
      <c r="B11" s="19" t="s">
        <v>162</v>
      </c>
      <c r="C11" s="25" t="s">
        <v>165</v>
      </c>
      <c r="D11" s="26">
        <f>'02_Nav_Efficiency'!E13</f>
        <v>1.8983350526932816</v>
      </c>
      <c r="E11" s="27">
        <v>5.0000000000000001E-3</v>
      </c>
      <c r="F11" s="10">
        <f t="shared" si="0"/>
        <v>1.9954161579456744</v>
      </c>
      <c r="G11" s="10">
        <f t="shared" si="1"/>
        <v>2.2047264875611079</v>
      </c>
    </row>
    <row r="12" spans="1:7" ht="15" customHeight="1" x14ac:dyDescent="0.2">
      <c r="A12" s="3" t="s">
        <v>166</v>
      </c>
      <c r="B12" s="19" t="s">
        <v>167</v>
      </c>
      <c r="C12" s="25" t="s">
        <v>168</v>
      </c>
      <c r="D12" s="26">
        <f>'02_Nav_Efficiency'!E13*0.95</f>
        <v>1.8034183000586175</v>
      </c>
      <c r="E12" s="27">
        <v>8.0000000000000002E-3</v>
      </c>
      <c r="F12" s="10">
        <f t="shared" si="0"/>
        <v>1.9529979770076424</v>
      </c>
      <c r="G12" s="10">
        <f t="shared" si="1"/>
        <v>2.2904058044246836</v>
      </c>
    </row>
    <row r="13" spans="1:7" ht="15" customHeight="1" x14ac:dyDescent="0.2">
      <c r="A13" s="3" t="s">
        <v>169</v>
      </c>
      <c r="B13" s="19" t="s">
        <v>167</v>
      </c>
      <c r="C13" s="25" t="s">
        <v>170</v>
      </c>
      <c r="D13" s="26">
        <f>'02_Nav_Efficiency'!E13*0.97</f>
        <v>1.841385001112483</v>
      </c>
      <c r="E13" s="27">
        <v>8.0000000000000002E-3</v>
      </c>
      <c r="F13" s="10">
        <f t="shared" si="0"/>
        <v>1.9941137238920139</v>
      </c>
      <c r="G13" s="10">
        <f t="shared" si="1"/>
        <v>2.338624873991519</v>
      </c>
    </row>
    <row r="14" spans="1:7" ht="15" customHeight="1" x14ac:dyDescent="0.2">
      <c r="A14" s="3" t="s">
        <v>171</v>
      </c>
      <c r="B14" s="19" t="s">
        <v>167</v>
      </c>
      <c r="C14" s="25" t="s">
        <v>172</v>
      </c>
      <c r="D14" s="26">
        <f>'02_Nav_Efficiency'!E13*0.85</f>
        <v>1.6135847947892894</v>
      </c>
      <c r="E14" s="27">
        <v>0.01</v>
      </c>
      <c r="F14" s="10">
        <f t="shared" si="0"/>
        <v>1.7824014655513476</v>
      </c>
      <c r="G14" s="10">
        <f t="shared" si="1"/>
        <v>2.1748685154544138</v>
      </c>
    </row>
    <row r="16" spans="1:7" ht="19.5" customHeight="1" x14ac:dyDescent="0.2">
      <c r="A16" s="47" t="s">
        <v>173</v>
      </c>
      <c r="B16" s="47"/>
      <c r="C16" s="47"/>
      <c r="D16" s="47"/>
      <c r="E16" s="47"/>
      <c r="F16" s="47"/>
      <c r="G16" s="47"/>
    </row>
    <row r="17" spans="1:7" ht="15" customHeight="1" x14ac:dyDescent="0.2">
      <c r="A17" s="6" t="s">
        <v>110</v>
      </c>
      <c r="B17" s="6" t="s">
        <v>121</v>
      </c>
      <c r="C17" s="6" t="s">
        <v>148</v>
      </c>
      <c r="D17" s="6" t="s">
        <v>149</v>
      </c>
      <c r="E17" s="6" t="s">
        <v>150</v>
      </c>
      <c r="F17" s="6" t="s">
        <v>151</v>
      </c>
      <c r="G17" s="6" t="s">
        <v>152</v>
      </c>
    </row>
    <row r="18" spans="1:7" ht="15" customHeight="1" x14ac:dyDescent="0.2">
      <c r="A18" s="3" t="s">
        <v>174</v>
      </c>
      <c r="B18" s="19" t="s">
        <v>175</v>
      </c>
      <c r="C18" s="25" t="s">
        <v>176</v>
      </c>
      <c r="D18" s="26">
        <f>'03_Rail_Efficiency'!E26</f>
        <v>8.5299364173114416</v>
      </c>
      <c r="E18" s="27">
        <v>0</v>
      </c>
      <c r="F18" s="10">
        <f>D18*(1+E18)^10</f>
        <v>8.5299364173114416</v>
      </c>
      <c r="G18" s="10">
        <f>D18*(1+E18)^30</f>
        <v>8.5299364173114416</v>
      </c>
    </row>
    <row r="19" spans="1:7" ht="15" customHeight="1" x14ac:dyDescent="0.2">
      <c r="A19" s="3" t="s">
        <v>177</v>
      </c>
      <c r="B19" s="19" t="s">
        <v>157</v>
      </c>
      <c r="C19" s="25" t="s">
        <v>158</v>
      </c>
      <c r="D19" s="26">
        <f>'03_Rail_Efficiency'!E25</f>
        <v>3.5412277548585553</v>
      </c>
      <c r="E19" s="27">
        <v>5.0000000000000001E-3</v>
      </c>
      <c r="F19" s="10">
        <f>D19*(1+E19)^10</f>
        <v>3.7223266098285293</v>
      </c>
      <c r="G19" s="10">
        <f>D19*(1+E19)^30</f>
        <v>4.1127822080440071</v>
      </c>
    </row>
    <row r="20" spans="1:7" ht="15" customHeight="1" x14ac:dyDescent="0.2">
      <c r="A20" s="3" t="s">
        <v>178</v>
      </c>
      <c r="B20" s="19" t="s">
        <v>157</v>
      </c>
      <c r="C20" s="25" t="s">
        <v>179</v>
      </c>
      <c r="D20" s="26">
        <f>'03_Rail_Efficiency'!E26</f>
        <v>8.5299364173114416</v>
      </c>
      <c r="E20" s="27">
        <v>8.0000000000000002E-3</v>
      </c>
      <c r="F20" s="10">
        <f>D20*(1+E20)^10</f>
        <v>9.2374290348897912</v>
      </c>
      <c r="G20" s="10">
        <f>D20*(1+E20)^30</f>
        <v>10.833324626321357</v>
      </c>
    </row>
    <row r="21" spans="1:7" ht="15" customHeight="1" x14ac:dyDescent="0.2">
      <c r="A21" s="3" t="s">
        <v>180</v>
      </c>
      <c r="B21" s="19" t="s">
        <v>167</v>
      </c>
      <c r="C21" s="25" t="s">
        <v>181</v>
      </c>
      <c r="D21" s="26">
        <f>'03_Rail_Efficiency'!E25*0.85</f>
        <v>3.0100435916297719</v>
      </c>
      <c r="E21" s="27">
        <v>0.01</v>
      </c>
      <c r="F21" s="10">
        <f>D21*(1+E21)^10</f>
        <v>3.3249607497664551</v>
      </c>
      <c r="G21" s="10">
        <f>D21*(1+E21)^30</f>
        <v>4.0570839900829538</v>
      </c>
    </row>
    <row r="23" spans="1:7" ht="19.5" customHeight="1" x14ac:dyDescent="0.2">
      <c r="A23" s="47" t="s">
        <v>182</v>
      </c>
      <c r="B23" s="47"/>
      <c r="C23" s="47"/>
      <c r="D23" s="47"/>
      <c r="E23" s="47"/>
      <c r="F23" s="47"/>
      <c r="G23" s="47"/>
    </row>
    <row r="24" spans="1:7" ht="15" customHeight="1" x14ac:dyDescent="0.2">
      <c r="A24" s="6" t="s">
        <v>110</v>
      </c>
      <c r="B24" s="6" t="s">
        <v>121</v>
      </c>
      <c r="C24" s="6"/>
      <c r="D24" s="6" t="s">
        <v>183</v>
      </c>
      <c r="E24" s="6"/>
      <c r="F24" s="6"/>
      <c r="G24" s="6"/>
    </row>
    <row r="25" spans="1:7" ht="15" customHeight="1" x14ac:dyDescent="0.2">
      <c r="A25" s="3" t="s">
        <v>126</v>
      </c>
      <c r="B25" s="19">
        <v>2006</v>
      </c>
      <c r="D25" s="26">
        <f>'04_HTR_D5_Inversion'!E6</f>
        <v>1.3875880251153434</v>
      </c>
    </row>
    <row r="26" spans="1:7" ht="15" customHeight="1" x14ac:dyDescent="0.2">
      <c r="A26" s="3" t="s">
        <v>128</v>
      </c>
      <c r="B26" s="19">
        <v>2020</v>
      </c>
      <c r="D26" s="26">
        <f>'04_HTR_D5_Inversion'!E7</f>
        <v>1.5082478533862427</v>
      </c>
    </row>
    <row r="27" spans="1:7" ht="15" customHeight="1" x14ac:dyDescent="0.2">
      <c r="A27" s="3"/>
      <c r="B27" s="19">
        <v>2030</v>
      </c>
      <c r="D27" s="26">
        <f>'04_HTR_D5_Inversion'!E8</f>
        <v>1.6394007006798594</v>
      </c>
    </row>
    <row r="28" spans="1:7" ht="15" customHeight="1" x14ac:dyDescent="0.2">
      <c r="A28" s="3"/>
      <c r="B28" s="19">
        <v>2050</v>
      </c>
      <c r="D28" s="26">
        <f>'04_HTR_D5_Inversion'!E9</f>
        <v>1.8215566658955409</v>
      </c>
    </row>
    <row r="29" spans="1:7" ht="15" customHeight="1" x14ac:dyDescent="0.2">
      <c r="A29" s="3" t="s">
        <v>132</v>
      </c>
      <c r="B29" s="19">
        <v>2020</v>
      </c>
      <c r="D29" s="26">
        <f>'04_HTR_D5_Inversion'!E10</f>
        <v>2.827966324577007</v>
      </c>
    </row>
    <row r="30" spans="1:7" ht="15" customHeight="1" x14ac:dyDescent="0.2">
      <c r="A30" s="3"/>
      <c r="B30" s="19">
        <v>2030</v>
      </c>
      <c r="D30" s="26">
        <f>'04_HTR_D5_Inversion'!E11</f>
        <v>3.327012010513358</v>
      </c>
    </row>
    <row r="31" spans="1:7" ht="15" customHeight="1" x14ac:dyDescent="0.2">
      <c r="A31" s="3"/>
      <c r="B31" s="19">
        <v>2050</v>
      </c>
      <c r="D31" s="26">
        <f>'04_HTR_D5_Inversion'!E12</f>
        <v>3.9607411338809722</v>
      </c>
    </row>
    <row r="32" spans="1:7" ht="15" customHeight="1" x14ac:dyDescent="0.2">
      <c r="A32" s="3" t="s">
        <v>134</v>
      </c>
      <c r="B32" s="19">
        <v>2025</v>
      </c>
      <c r="D32" s="26">
        <f>'04_HTR_D5_Inversion'!E13</f>
        <v>2.3360065034421056</v>
      </c>
    </row>
    <row r="33" spans="1:4" ht="15" customHeight="1" x14ac:dyDescent="0.2">
      <c r="A33" s="3"/>
      <c r="B33" s="19">
        <v>2050</v>
      </c>
      <c r="D33" s="26">
        <f>'04_HTR_D5_Inversion'!E14</f>
        <v>3.4579103156380535</v>
      </c>
    </row>
    <row r="34" spans="1:4" ht="15" customHeight="1" x14ac:dyDescent="0.2">
      <c r="A34" s="3" t="s">
        <v>136</v>
      </c>
      <c r="B34" s="19">
        <v>2007</v>
      </c>
      <c r="D34" s="26">
        <f>'04_HTR_D5_Inversion'!E15</f>
        <v>1.206598646678958</v>
      </c>
    </row>
    <row r="35" spans="1:4" ht="15" customHeight="1" x14ac:dyDescent="0.2">
      <c r="A35" s="3" t="s">
        <v>138</v>
      </c>
      <c r="B35" s="19">
        <v>2007</v>
      </c>
      <c r="D35" s="26">
        <f>'04_HTR_D5_Inversion'!E16</f>
        <v>1.492029577994354</v>
      </c>
    </row>
  </sheetData>
  <mergeCells count="5">
    <mergeCell ref="A1:G1"/>
    <mergeCell ref="A3:G3"/>
    <mergeCell ref="A5:G5"/>
    <mergeCell ref="A16:G16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6" customWidth="1"/>
    <col min="2" max="4" width="14" customWidth="1"/>
    <col min="5" max="6" width="16" customWidth="1"/>
  </cols>
  <sheetData>
    <row r="1" spans="1:6" ht="25.5" customHeight="1" x14ac:dyDescent="0.2">
      <c r="A1" s="46" t="s">
        <v>184</v>
      </c>
      <c r="B1" s="46"/>
      <c r="C1" s="46"/>
      <c r="D1" s="46"/>
      <c r="E1" s="46"/>
      <c r="F1" s="46"/>
    </row>
    <row r="3" spans="1:6" ht="27.75" customHeight="1" x14ac:dyDescent="0.2">
      <c r="A3" s="51" t="s">
        <v>185</v>
      </c>
      <c r="B3" s="51"/>
      <c r="C3" s="51"/>
      <c r="D3" s="51"/>
      <c r="E3" s="51"/>
      <c r="F3" s="51"/>
    </row>
    <row r="5" spans="1:6" ht="19.5" customHeight="1" x14ac:dyDescent="0.2">
      <c r="A5" s="47" t="s">
        <v>186</v>
      </c>
      <c r="B5" s="47"/>
      <c r="C5" s="47"/>
      <c r="D5" s="47"/>
      <c r="E5" s="47"/>
      <c r="F5" s="47"/>
    </row>
    <row r="6" spans="1:6" ht="15" customHeight="1" x14ac:dyDescent="0.2">
      <c r="A6" s="6" t="s">
        <v>187</v>
      </c>
      <c r="B6" s="6" t="s">
        <v>188</v>
      </c>
      <c r="C6" s="6" t="s">
        <v>189</v>
      </c>
      <c r="D6" s="6" t="s">
        <v>190</v>
      </c>
      <c r="E6" s="6" t="s">
        <v>191</v>
      </c>
      <c r="F6" s="6" t="s">
        <v>192</v>
      </c>
    </row>
    <row r="7" spans="1:6" ht="32.25" customHeight="1" x14ac:dyDescent="0.2">
      <c r="A7" s="3" t="s">
        <v>193</v>
      </c>
      <c r="B7" s="28">
        <v>42202.894</v>
      </c>
      <c r="C7" s="13">
        <v>18.795000000000002</v>
      </c>
      <c r="D7" s="29">
        <f>B7/C7*1000</f>
        <v>2245431.9765895186</v>
      </c>
      <c r="E7" s="30">
        <f>AVERAGE(44216.866/21.212,43318.196/20.287,42395.232/19.914,45986.078/22.962,42202.894/18.795)*1000</f>
        <v>2119368.2856406602</v>
      </c>
      <c r="F7" s="8" t="s">
        <v>194</v>
      </c>
    </row>
    <row r="8" spans="1:6" ht="21.75" customHeight="1" x14ac:dyDescent="0.2">
      <c r="A8" s="3" t="s">
        <v>195</v>
      </c>
      <c r="B8" s="28">
        <v>22693</v>
      </c>
      <c r="C8" s="13">
        <v>79.366</v>
      </c>
      <c r="D8" s="29">
        <f>B8/C8*1000</f>
        <v>285928.48322959454</v>
      </c>
      <c r="E8" s="30">
        <f>AVERAGE(21309/47.427,20750/46.213,24262/63.274,24330/61.362,22693/79.366)*1000</f>
        <v>392836.05358218565</v>
      </c>
      <c r="F8" s="8" t="s">
        <v>196</v>
      </c>
    </row>
    <row r="9" spans="1:6" ht="15" customHeight="1" x14ac:dyDescent="0.2">
      <c r="A9" s="3" t="s">
        <v>197</v>
      </c>
      <c r="B9" s="28">
        <v>128805</v>
      </c>
      <c r="C9" s="13">
        <v>8161</v>
      </c>
      <c r="D9" s="29">
        <f>B9/C9*1000</f>
        <v>15782.992280357799</v>
      </c>
      <c r="E9" s="30">
        <f>AVERAGE(122491/7483,118151/7185,128547/7752,132267/8103,128805/8161)*1000</f>
        <v>16300.398575272489</v>
      </c>
      <c r="F9" s="8" t="s">
        <v>198</v>
      </c>
    </row>
    <row r="10" spans="1:6" ht="53.25" customHeight="1" x14ac:dyDescent="0.2">
      <c r="A10" s="3" t="s">
        <v>199</v>
      </c>
      <c r="B10" s="31" t="s">
        <v>200</v>
      </c>
      <c r="C10" s="31" t="s">
        <v>200</v>
      </c>
      <c r="D10" s="31" t="s">
        <v>200</v>
      </c>
      <c r="E10" s="32">
        <v>16.596</v>
      </c>
      <c r="F10" s="8" t="s">
        <v>201</v>
      </c>
    </row>
    <row r="12" spans="1:6" ht="19.5" customHeight="1" x14ac:dyDescent="0.2">
      <c r="A12" s="47" t="s">
        <v>202</v>
      </c>
      <c r="B12" s="47"/>
      <c r="C12" s="47"/>
      <c r="D12" s="47"/>
      <c r="E12" s="47"/>
      <c r="F12" s="47"/>
    </row>
    <row r="13" spans="1:6" ht="23.25" customHeight="1" x14ac:dyDescent="0.2">
      <c r="A13" s="6" t="s">
        <v>203</v>
      </c>
      <c r="B13" s="6" t="s">
        <v>204</v>
      </c>
      <c r="C13" s="6" t="s">
        <v>205</v>
      </c>
      <c r="D13" s="6" t="s">
        <v>206</v>
      </c>
      <c r="E13" s="6" t="s">
        <v>62</v>
      </c>
      <c r="F13" s="6" t="s">
        <v>207</v>
      </c>
    </row>
    <row r="14" spans="1:6" ht="15" customHeight="1" x14ac:dyDescent="0.2">
      <c r="A14" s="4" t="s">
        <v>208</v>
      </c>
      <c r="B14" s="9">
        <v>9.0880000000000002E-2</v>
      </c>
      <c r="C14" s="33">
        <v>16.596</v>
      </c>
      <c r="D14" s="10">
        <f>B14*C14</f>
        <v>1.5082444800000001</v>
      </c>
      <c r="E14" s="9">
        <v>0.66302099999999997</v>
      </c>
      <c r="F14" s="11">
        <f>1/E14</f>
        <v>1.5082478533862427</v>
      </c>
    </row>
    <row r="15" spans="1:6" ht="15" customHeight="1" x14ac:dyDescent="0.2">
      <c r="A15" s="4" t="s">
        <v>209</v>
      </c>
      <c r="B15" s="9">
        <v>0.1704</v>
      </c>
      <c r="C15" s="33">
        <v>16.596</v>
      </c>
      <c r="D15" s="10">
        <f>B15*C15</f>
        <v>2.8279584</v>
      </c>
      <c r="E15" s="9">
        <v>0.35361100000000001</v>
      </c>
      <c r="F15" s="11">
        <f>1/E15</f>
        <v>2.827966324577007</v>
      </c>
    </row>
    <row r="16" spans="1:6" ht="15" customHeight="1" x14ac:dyDescent="0.2">
      <c r="A16" s="4" t="s">
        <v>210</v>
      </c>
      <c r="B16" s="9">
        <v>0.14075699999999999</v>
      </c>
      <c r="C16" s="33">
        <v>16.596</v>
      </c>
      <c r="D16" s="10">
        <f>B16*C16</f>
        <v>2.3360031719999999</v>
      </c>
      <c r="E16" s="9">
        <v>0.42808099999999999</v>
      </c>
      <c r="F16" s="11">
        <f>1/E16</f>
        <v>2.3360065034421056</v>
      </c>
    </row>
    <row r="18" spans="1:6" ht="27.75" customHeight="1" x14ac:dyDescent="0.2">
      <c r="A18" s="52" t="s">
        <v>211</v>
      </c>
      <c r="B18" s="52"/>
      <c r="C18" s="52"/>
      <c r="D18" s="52"/>
      <c r="E18" s="52"/>
      <c r="F18" s="52"/>
    </row>
  </sheetData>
  <mergeCells count="5">
    <mergeCell ref="A1:F1"/>
    <mergeCell ref="A3:F3"/>
    <mergeCell ref="A5:F5"/>
    <mergeCell ref="A12:F12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Normal="100" workbookViewId="0">
      <selection sqref="A1:I1"/>
    </sheetView>
  </sheetViews>
  <sheetFormatPr baseColWidth="10" defaultColWidth="8.6640625" defaultRowHeight="15" x14ac:dyDescent="0.2"/>
  <cols>
    <col min="1" max="1" width="26" customWidth="1"/>
    <col min="2" max="9" width="12" customWidth="1"/>
  </cols>
  <sheetData>
    <row r="1" spans="1:9" ht="25.5" customHeight="1" x14ac:dyDescent="0.2">
      <c r="A1" s="46" t="s">
        <v>212</v>
      </c>
      <c r="B1" s="46"/>
      <c r="C1" s="46"/>
      <c r="D1" s="46"/>
      <c r="E1" s="46"/>
      <c r="F1" s="46"/>
      <c r="G1" s="46"/>
      <c r="H1" s="46"/>
      <c r="I1" s="46"/>
    </row>
    <row r="3" spans="1:9" ht="27.75" customHeight="1" x14ac:dyDescent="0.2">
      <c r="A3" s="51" t="s">
        <v>213</v>
      </c>
      <c r="B3" s="51"/>
      <c r="C3" s="51"/>
      <c r="D3" s="51"/>
      <c r="E3" s="51"/>
      <c r="F3" s="51"/>
      <c r="G3" s="51"/>
      <c r="H3" s="51"/>
      <c r="I3" s="51"/>
    </row>
    <row r="5" spans="1:9" ht="15" customHeight="1" x14ac:dyDescent="0.2">
      <c r="A5" s="6" t="s">
        <v>214</v>
      </c>
      <c r="B5" s="6" t="s">
        <v>77</v>
      </c>
      <c r="C5" s="6" t="s">
        <v>79</v>
      </c>
      <c r="D5" s="6" t="s">
        <v>215</v>
      </c>
      <c r="E5" s="6" t="s">
        <v>216</v>
      </c>
      <c r="F5" s="6" t="s">
        <v>217</v>
      </c>
      <c r="G5" s="6" t="s">
        <v>218</v>
      </c>
      <c r="H5" s="6" t="s">
        <v>219</v>
      </c>
      <c r="I5" s="6" t="s">
        <v>220</v>
      </c>
    </row>
    <row r="6" spans="1:9" ht="15" customHeight="1" x14ac:dyDescent="0.2">
      <c r="A6" s="3" t="s">
        <v>221</v>
      </c>
      <c r="B6" s="34">
        <f>2.2858*16.596</f>
        <v>37.935136800000002</v>
      </c>
      <c r="C6" s="34">
        <f>2.4799*16.596</f>
        <v>41.156420400000002</v>
      </c>
      <c r="D6" s="34">
        <f>2.5205*16.596</f>
        <v>41.830218000000002</v>
      </c>
      <c r="E6" s="34">
        <f>2.9464*16.596</f>
        <v>48.898454400000006</v>
      </c>
      <c r="F6" s="34">
        <f>3.323*16.596</f>
        <v>55.148508</v>
      </c>
      <c r="G6" s="34">
        <f>3.6272*16.596</f>
        <v>60.197011200000006</v>
      </c>
      <c r="H6" s="34">
        <f>3.8706*16.596</f>
        <v>64.236477600000001</v>
      </c>
      <c r="I6" s="34">
        <f>4.1023*16.596</f>
        <v>68.081770800000001</v>
      </c>
    </row>
    <row r="7" spans="1:9" ht="15" customHeight="1" x14ac:dyDescent="0.2">
      <c r="A7" s="3" t="s">
        <v>222</v>
      </c>
      <c r="B7" s="35">
        <v>21.309000000000001</v>
      </c>
      <c r="C7" s="35">
        <v>24.33</v>
      </c>
      <c r="D7" s="36">
        <f>22.693*(1+0.015)^2</f>
        <v>23.378895924999995</v>
      </c>
      <c r="E7" s="36">
        <f>22.693*(1+0.015)^7</f>
        <v>25.185710608480075</v>
      </c>
      <c r="F7" s="36">
        <f>22.693*(1+0.015)^12</f>
        <v>27.132163164976575</v>
      </c>
      <c r="G7" s="36">
        <f>22.693*(1+0.015)^17</f>
        <v>29.229045368410102</v>
      </c>
      <c r="H7" s="36">
        <f>22.693*(1+0.015)^22</f>
        <v>31.487983024198858</v>
      </c>
      <c r="I7" s="36">
        <f>22.693*(1+0.015)^27</f>
        <v>33.921500426552157</v>
      </c>
    </row>
    <row r="8" spans="1:9" ht="15" customHeight="1" x14ac:dyDescent="0.2">
      <c r="A8" s="3" t="s">
        <v>223</v>
      </c>
      <c r="B8" s="35">
        <v>44.216999999999999</v>
      </c>
      <c r="C8" s="35">
        <v>45.985999999999997</v>
      </c>
      <c r="D8" s="36">
        <f>42.203*(1+0.005)^2</f>
        <v>42.626085074999992</v>
      </c>
      <c r="E8" s="36">
        <f>42.203*(1+0.005)^7</f>
        <v>43.70244713908977</v>
      </c>
      <c r="F8" s="36">
        <f>42.203*(1+0.005)^12</f>
        <v>44.805988694117396</v>
      </c>
      <c r="G8" s="36">
        <f>42.203*(1+0.005)^17</f>
        <v>45.937396056288435</v>
      </c>
      <c r="H8" s="36">
        <f>42.203*(1+0.005)^22</f>
        <v>47.097372872152661</v>
      </c>
      <c r="I8" s="36">
        <f>42.203*(1+0.005)^27</f>
        <v>48.286640556217044</v>
      </c>
    </row>
    <row r="9" spans="1:9" ht="23.25" customHeight="1" x14ac:dyDescent="0.2">
      <c r="A9" s="37" t="s">
        <v>224</v>
      </c>
      <c r="B9" s="38">
        <f t="shared" ref="B9:I9" si="0">SUM(B6:B8)</f>
        <v>103.46113680000001</v>
      </c>
      <c r="C9" s="38">
        <f t="shared" si="0"/>
        <v>111.4724204</v>
      </c>
      <c r="D9" s="38">
        <f t="shared" si="0"/>
        <v>107.83519899999999</v>
      </c>
      <c r="E9" s="38">
        <f t="shared" si="0"/>
        <v>117.78661214756985</v>
      </c>
      <c r="F9" s="38">
        <f t="shared" si="0"/>
        <v>127.08665985909397</v>
      </c>
      <c r="G9" s="38">
        <f t="shared" si="0"/>
        <v>135.36345262469854</v>
      </c>
      <c r="H9" s="38">
        <f t="shared" si="0"/>
        <v>142.82183349635153</v>
      </c>
      <c r="I9" s="38">
        <f t="shared" si="0"/>
        <v>150.2899117827692</v>
      </c>
    </row>
    <row r="11" spans="1:9" ht="27.75" customHeight="1" x14ac:dyDescent="0.2">
      <c r="A11" s="53" t="s">
        <v>225</v>
      </c>
      <c r="B11" s="53"/>
      <c r="C11" s="53"/>
      <c r="D11" s="53"/>
      <c r="E11" s="53"/>
      <c r="F11" s="53"/>
      <c r="G11" s="53"/>
      <c r="H11" s="53"/>
      <c r="I11" s="53"/>
    </row>
  </sheetData>
  <mergeCells count="3">
    <mergeCell ref="A1:I1"/>
    <mergeCell ref="A3:I3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1"/>
  <sheetViews>
    <sheetView tabSelected="1"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25.5" customHeight="1" x14ac:dyDescent="0.2">
      <c r="A1" s="2" t="s">
        <v>226</v>
      </c>
    </row>
    <row r="3" spans="1:1" ht="27.75" customHeight="1" x14ac:dyDescent="0.2">
      <c r="A3" s="1" t="s">
        <v>227</v>
      </c>
    </row>
    <row r="5" spans="1:1" ht="15" customHeight="1" x14ac:dyDescent="0.2">
      <c r="A5" s="39" t="s">
        <v>228</v>
      </c>
    </row>
    <row r="6" spans="1:1" ht="15" customHeight="1" x14ac:dyDescent="0.2">
      <c r="A6" s="39" t="s">
        <v>229</v>
      </c>
    </row>
    <row r="7" spans="1:1" ht="15" customHeight="1" x14ac:dyDescent="0.2">
      <c r="A7" s="39" t="s">
        <v>228</v>
      </c>
    </row>
    <row r="8" spans="1:1" ht="15" customHeight="1" x14ac:dyDescent="0.2">
      <c r="A8" s="40" t="s">
        <v>230</v>
      </c>
    </row>
    <row r="9" spans="1:1" ht="15" customHeight="1" x14ac:dyDescent="0.2">
      <c r="A9" s="41"/>
    </row>
    <row r="10" spans="1:1" ht="15" customHeight="1" x14ac:dyDescent="0.2">
      <c r="A10" s="39" t="s">
        <v>228</v>
      </c>
    </row>
    <row r="11" spans="1:1" ht="15" customHeight="1" x14ac:dyDescent="0.2">
      <c r="A11" s="39" t="s">
        <v>231</v>
      </c>
    </row>
    <row r="12" spans="1:1" ht="15" customHeight="1" x14ac:dyDescent="0.2">
      <c r="A12" s="39" t="s">
        <v>228</v>
      </c>
    </row>
    <row r="13" spans="1:1" ht="15" customHeight="1" x14ac:dyDescent="0.2">
      <c r="A13" s="40" t="s">
        <v>232</v>
      </c>
    </row>
    <row r="14" spans="1:1" ht="15" customHeight="1" x14ac:dyDescent="0.2">
      <c r="A14" s="40" t="s">
        <v>233</v>
      </c>
    </row>
    <row r="15" spans="1:1" ht="15" customHeight="1" x14ac:dyDescent="0.2">
      <c r="A15" s="40" t="s">
        <v>234</v>
      </c>
    </row>
    <row r="16" spans="1:1" ht="15" customHeight="1" x14ac:dyDescent="0.2">
      <c r="A16" s="40" t="s">
        <v>235</v>
      </c>
    </row>
    <row r="17" spans="1:1" ht="15" customHeight="1" x14ac:dyDescent="0.2">
      <c r="A17" s="40" t="s">
        <v>236</v>
      </c>
    </row>
    <row r="18" spans="1:1" ht="15" customHeight="1" x14ac:dyDescent="0.2">
      <c r="A18" s="40" t="s">
        <v>237</v>
      </c>
    </row>
    <row r="19" spans="1:1" ht="15" customHeight="1" x14ac:dyDescent="0.2">
      <c r="A19" s="41"/>
    </row>
    <row r="20" spans="1:1" ht="15" customHeight="1" x14ac:dyDescent="0.2">
      <c r="A20" s="39" t="s">
        <v>228</v>
      </c>
    </row>
    <row r="21" spans="1:1" ht="15" customHeight="1" x14ac:dyDescent="0.2">
      <c r="A21" s="39" t="s">
        <v>238</v>
      </c>
    </row>
    <row r="22" spans="1:1" ht="15" customHeight="1" x14ac:dyDescent="0.2">
      <c r="A22" s="39" t="s">
        <v>228</v>
      </c>
    </row>
    <row r="23" spans="1:1" ht="15" customHeight="1" x14ac:dyDescent="0.2">
      <c r="A23" s="40" t="s">
        <v>239</v>
      </c>
    </row>
    <row r="24" spans="1:1" ht="15" customHeight="1" x14ac:dyDescent="0.2">
      <c r="A24" s="40" t="s">
        <v>240</v>
      </c>
    </row>
    <row r="25" spans="1:1" ht="15" customHeight="1" x14ac:dyDescent="0.2">
      <c r="A25" s="40" t="s">
        <v>241</v>
      </c>
    </row>
    <row r="26" spans="1:1" ht="15" customHeight="1" x14ac:dyDescent="0.2">
      <c r="A26" s="41"/>
    </row>
    <row r="27" spans="1:1" ht="15" customHeight="1" x14ac:dyDescent="0.2">
      <c r="A27" s="39" t="s">
        <v>228</v>
      </c>
    </row>
    <row r="28" spans="1:1" ht="15" customHeight="1" x14ac:dyDescent="0.2">
      <c r="A28" s="39" t="s">
        <v>242</v>
      </c>
    </row>
    <row r="29" spans="1:1" ht="15" customHeight="1" x14ac:dyDescent="0.2">
      <c r="A29" s="39" t="s">
        <v>228</v>
      </c>
    </row>
    <row r="30" spans="1:1" ht="15" customHeight="1" x14ac:dyDescent="0.2">
      <c r="A30" s="40" t="s">
        <v>243</v>
      </c>
    </row>
    <row r="31" spans="1:1" ht="15" customHeight="1" x14ac:dyDescent="0.2">
      <c r="A31" s="40" t="s">
        <v>244</v>
      </c>
    </row>
    <row r="32" spans="1:1" ht="15" customHeight="1" x14ac:dyDescent="0.2">
      <c r="A32" s="40" t="s">
        <v>245</v>
      </c>
    </row>
    <row r="33" spans="1:1" ht="15" customHeight="1" x14ac:dyDescent="0.2">
      <c r="A33" s="40" t="s">
        <v>246</v>
      </c>
    </row>
    <row r="34" spans="1:1" ht="15" customHeight="1" x14ac:dyDescent="0.2">
      <c r="A34" s="40" t="s">
        <v>247</v>
      </c>
    </row>
    <row r="35" spans="1:1" ht="15" customHeight="1" x14ac:dyDescent="0.2">
      <c r="A35" s="40" t="s">
        <v>248</v>
      </c>
    </row>
    <row r="36" spans="1:1" ht="15" customHeight="1" x14ac:dyDescent="0.2">
      <c r="A36" s="40" t="s">
        <v>249</v>
      </c>
    </row>
    <row r="37" spans="1:1" ht="15" customHeight="1" x14ac:dyDescent="0.2">
      <c r="A37" s="40" t="s">
        <v>250</v>
      </c>
    </row>
    <row r="38" spans="1:1" ht="15" customHeight="1" x14ac:dyDescent="0.2">
      <c r="A38" s="41"/>
    </row>
    <row r="39" spans="1:1" ht="15" customHeight="1" x14ac:dyDescent="0.2">
      <c r="A39" s="39" t="s">
        <v>228</v>
      </c>
    </row>
    <row r="40" spans="1:1" ht="15" customHeight="1" x14ac:dyDescent="0.2">
      <c r="A40" s="39" t="s">
        <v>251</v>
      </c>
    </row>
    <row r="41" spans="1:1" ht="15" customHeight="1" x14ac:dyDescent="0.2">
      <c r="A41" s="39" t="s">
        <v>228</v>
      </c>
    </row>
    <row r="42" spans="1:1" ht="15" customHeight="1" x14ac:dyDescent="0.2">
      <c r="A42" s="39" t="s">
        <v>252</v>
      </c>
    </row>
    <row r="43" spans="1:1" ht="15" customHeight="1" x14ac:dyDescent="0.2">
      <c r="A43" s="40" t="s">
        <v>253</v>
      </c>
    </row>
    <row r="44" spans="1:1" ht="15" customHeight="1" x14ac:dyDescent="0.2">
      <c r="A44" s="40" t="s">
        <v>254</v>
      </c>
    </row>
    <row r="45" spans="1:1" ht="15" customHeight="1" x14ac:dyDescent="0.2">
      <c r="A45" s="40" t="s">
        <v>255</v>
      </c>
    </row>
    <row r="46" spans="1:1" ht="15" customHeight="1" x14ac:dyDescent="0.2">
      <c r="A46" s="40" t="s">
        <v>256</v>
      </c>
    </row>
    <row r="47" spans="1:1" ht="15" customHeight="1" x14ac:dyDescent="0.2">
      <c r="A47" s="39" t="s">
        <v>257</v>
      </c>
    </row>
    <row r="48" spans="1:1" ht="15" customHeight="1" x14ac:dyDescent="0.2">
      <c r="A48" s="40" t="s">
        <v>258</v>
      </c>
    </row>
    <row r="49" spans="1:1" ht="15" customHeight="1" x14ac:dyDescent="0.2">
      <c r="A49" s="40" t="s">
        <v>259</v>
      </c>
    </row>
    <row r="50" spans="1:1" ht="15" customHeight="1" x14ac:dyDescent="0.2">
      <c r="A50" s="40" t="s">
        <v>260</v>
      </c>
    </row>
    <row r="51" spans="1:1" ht="15" customHeight="1" x14ac:dyDescent="0.2">
      <c r="A51" s="39" t="s">
        <v>261</v>
      </c>
    </row>
    <row r="52" spans="1:1" ht="15" customHeight="1" x14ac:dyDescent="0.2">
      <c r="A52" s="40" t="s">
        <v>262</v>
      </c>
    </row>
    <row r="53" spans="1:1" ht="15" customHeight="1" x14ac:dyDescent="0.2">
      <c r="A53" s="40" t="s">
        <v>263</v>
      </c>
    </row>
    <row r="54" spans="1:1" ht="15" customHeight="1" x14ac:dyDescent="0.2">
      <c r="A54" s="39" t="s">
        <v>264</v>
      </c>
    </row>
    <row r="55" spans="1:1" ht="15" customHeight="1" x14ac:dyDescent="0.2">
      <c r="A55" s="40" t="s">
        <v>265</v>
      </c>
    </row>
    <row r="56" spans="1:1" ht="15" customHeight="1" x14ac:dyDescent="0.2">
      <c r="A56" s="40" t="s">
        <v>266</v>
      </c>
    </row>
    <row r="57" spans="1:1" ht="15" customHeight="1" x14ac:dyDescent="0.2">
      <c r="A57" s="39" t="s">
        <v>267</v>
      </c>
    </row>
    <row r="58" spans="1:1" ht="15" customHeight="1" x14ac:dyDescent="0.2">
      <c r="A58" s="40" t="s">
        <v>268</v>
      </c>
    </row>
    <row r="59" spans="1:1" ht="15" customHeight="1" x14ac:dyDescent="0.2">
      <c r="A59" s="39" t="s">
        <v>269</v>
      </c>
    </row>
    <row r="60" spans="1:1" ht="15" customHeight="1" x14ac:dyDescent="0.2">
      <c r="A60" s="40" t="s">
        <v>270</v>
      </c>
    </row>
    <row r="61" spans="1:1" ht="15" customHeight="1" x14ac:dyDescent="0.2">
      <c r="A61" s="40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"/>
  <sheetViews>
    <sheetView topLeftCell="A2" zoomScale="140" zoomScaleNormal="140" workbookViewId="0">
      <selection sqref="A1:B1"/>
    </sheetView>
  </sheetViews>
  <sheetFormatPr baseColWidth="10" defaultColWidth="8.6640625" defaultRowHeight="15" x14ac:dyDescent="0.2"/>
  <cols>
    <col min="1" max="1" width="4" customWidth="1"/>
    <col min="2" max="2" width="104" customWidth="1"/>
  </cols>
  <sheetData>
    <row r="1" spans="1:2" ht="25.5" customHeight="1" x14ac:dyDescent="0.2">
      <c r="A1" s="46" t="s">
        <v>272</v>
      </c>
      <c r="B1" s="46"/>
    </row>
    <row r="3" spans="1:2" ht="19.5" customHeight="1" x14ac:dyDescent="0.2">
      <c r="A3" s="47" t="s">
        <v>273</v>
      </c>
      <c r="B3" s="47"/>
    </row>
    <row r="4" spans="1:2" ht="36" customHeight="1" x14ac:dyDescent="0.2">
      <c r="A4" s="42" t="s">
        <v>274</v>
      </c>
      <c r="B4" s="43" t="s">
        <v>275</v>
      </c>
    </row>
    <row r="5" spans="1:2" ht="36" customHeight="1" x14ac:dyDescent="0.2">
      <c r="A5" s="42" t="s">
        <v>276</v>
      </c>
      <c r="B5" s="43" t="s">
        <v>277</v>
      </c>
    </row>
    <row r="6" spans="1:2" ht="36" customHeight="1" x14ac:dyDescent="0.2">
      <c r="A6" s="42" t="s">
        <v>278</v>
      </c>
      <c r="B6" s="43" t="s">
        <v>279</v>
      </c>
    </row>
    <row r="7" spans="1:2" ht="36" customHeight="1" x14ac:dyDescent="0.2">
      <c r="A7" s="42" t="s">
        <v>280</v>
      </c>
      <c r="B7" s="43" t="s">
        <v>281</v>
      </c>
    </row>
    <row r="9" spans="1:2" ht="19.5" customHeight="1" x14ac:dyDescent="0.2">
      <c r="A9" s="47" t="s">
        <v>282</v>
      </c>
      <c r="B9" s="47"/>
    </row>
    <row r="10" spans="1:2" ht="15" customHeight="1" x14ac:dyDescent="0.2">
      <c r="B10" s="44" t="s">
        <v>283</v>
      </c>
    </row>
    <row r="11" spans="1:2" ht="23.25" customHeight="1" x14ac:dyDescent="0.2">
      <c r="B11" s="44" t="s">
        <v>284</v>
      </c>
    </row>
    <row r="12" spans="1:2" ht="15" customHeight="1" x14ac:dyDescent="0.2">
      <c r="B12" s="44" t="s">
        <v>285</v>
      </c>
    </row>
    <row r="14" spans="1:2" ht="19.5" customHeight="1" x14ac:dyDescent="0.2">
      <c r="A14" s="47" t="s">
        <v>286</v>
      </c>
      <c r="B14" s="47"/>
    </row>
    <row r="15" spans="1:2" ht="27.75" customHeight="1" x14ac:dyDescent="0.2">
      <c r="A15" s="18" t="s">
        <v>287</v>
      </c>
      <c r="B15" s="45" t="s">
        <v>288</v>
      </c>
    </row>
    <row r="16" spans="1:2" ht="27.75" customHeight="1" x14ac:dyDescent="0.2">
      <c r="A16" s="18" t="s">
        <v>289</v>
      </c>
      <c r="B16" s="45" t="s">
        <v>290</v>
      </c>
    </row>
    <row r="17" spans="1:2" ht="27.75" customHeight="1" x14ac:dyDescent="0.2">
      <c r="A17" s="18" t="s">
        <v>291</v>
      </c>
      <c r="B17" s="45" t="s">
        <v>292</v>
      </c>
    </row>
    <row r="18" spans="1:2" ht="27.75" customHeight="1" x14ac:dyDescent="0.2">
      <c r="A18" s="18" t="s">
        <v>293</v>
      </c>
      <c r="B18" s="45" t="s">
        <v>294</v>
      </c>
    </row>
    <row r="19" spans="1:2" ht="27.75" customHeight="1" x14ac:dyDescent="0.2">
      <c r="A19" s="18" t="s">
        <v>295</v>
      </c>
      <c r="B19" s="45" t="s">
        <v>296</v>
      </c>
    </row>
  </sheetData>
  <mergeCells count="4">
    <mergeCell ref="A1:B1"/>
    <mergeCell ref="A3:B3"/>
    <mergeCell ref="A9:B9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00_README</vt:lpstr>
      <vt:lpstr>01_Conversions</vt:lpstr>
      <vt:lpstr>02_Nav_Efficiency</vt:lpstr>
      <vt:lpstr>03_Rail_Efficiency</vt:lpstr>
      <vt:lpstr>04_HTR_D5_Inversion</vt:lpstr>
      <vt:lpstr>05_Efficiency_Summary</vt:lpstr>
      <vt:lpstr>06_LoadFactors</vt:lpstr>
      <vt:lpstr>07_Demand_TRA_FRG</vt:lpstr>
      <vt:lpstr>08_TEMOA_SQL_Ready</vt:lpstr>
      <vt:lpstr>09_Notes_Methodology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Cinquini  Filippo</cp:lastModifiedBy>
  <cp:revision>0</cp:revision>
  <dcterms:created xsi:type="dcterms:W3CDTF">2026-05-13T16:09:55Z</dcterms:created>
  <dcterms:modified xsi:type="dcterms:W3CDTF">2026-05-27T10:16:30Z</dcterms:modified>
  <dc:language>en-US</dc:language>
</cp:coreProperties>
</file>