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pocinquini/Downloads/"/>
    </mc:Choice>
  </mc:AlternateContent>
  <xr:revisionPtr revIDLastSave="0" documentId="13_ncr:1_{138E422F-4108-824A-BB91-013CFB0FA57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oglio2" sheetId="11" r:id="rId1"/>
    <sheet name="A IT ALL KM_UN_50" sheetId="1" r:id="rId2"/>
    <sheet name="A IT ALL KM_51_100" sheetId="2" r:id="rId3"/>
    <sheet name="A IT ALL KM_101_150" sheetId="3" r:id="rId4"/>
    <sheet name="A IT ALL KM_151_200" sheetId="4" r:id="rId5"/>
    <sheet name="A IT ALL KM_201_300" sheetId="5" r:id="rId6"/>
    <sheet name="A IT ALL KM_301_400" sheetId="6" r:id="rId7"/>
    <sheet name="A IT ALL KM_401_500" sheetId="7" r:id="rId8"/>
    <sheet name="A IT ALL KM_GE_500" sheetId="8" r:id="rId9"/>
    <sheet name="A IT ALL TOTAL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1" l="1"/>
  <c r="E4" i="11"/>
  <c r="C9" i="11"/>
  <c r="C8" i="11"/>
  <c r="C7" i="11"/>
  <c r="C6" i="11"/>
</calcChain>
</file>

<file path=xl/sharedStrings.xml><?xml version="1.0" encoding="utf-8"?>
<sst xmlns="http://schemas.openxmlformats.org/spreadsheetml/2006/main" count="303" uniqueCount="36">
  <si>
    <t xml:space="preserve">Trasporto merci su strada per tipo di trasporto, classe di percorrenza e titolo di trasporto  </t>
  </si>
  <si>
    <t xml:space="preserve">Frequenza: Annuale  </t>
  </si>
  <si>
    <t xml:space="preserve">Territorio di immatricolazione automezzo: Italia  </t>
  </si>
  <si>
    <t xml:space="preserve">Tipo di merce (NST 2007): Tutte le voci  </t>
  </si>
  <si>
    <t xml:space="preserve">Classe di percorrenza: Fino a 50 km  </t>
  </si>
  <si>
    <t xml:space="preserve">  </t>
  </si>
  <si>
    <t xml:space="preserve">Tempo  </t>
  </si>
  <si>
    <t xml:space="preserve">Indicatore  </t>
  </si>
  <si>
    <t xml:space="preserve">2024  </t>
  </si>
  <si>
    <t xml:space="preserve">Distanza media percorsa dalla merce - km  </t>
  </si>
  <si>
    <t xml:space="preserve">Merce trasportata - tonnellate  </t>
  </si>
  <si>
    <t xml:space="preserve">Merce trasportata - tonnellate-chilometro (migliaia)  </t>
  </si>
  <si>
    <t xml:space="preserve">Titolo di trasporto  </t>
  </si>
  <si>
    <t xml:space="preserve">Tipo di trasporto  </t>
  </si>
  <si>
    <t xml:space="preserve">Conto proprio  </t>
  </si>
  <si>
    <t xml:space="preserve">Interno  </t>
  </si>
  <si>
    <t xml:space="preserve">Internazionale  </t>
  </si>
  <si>
    <t xml:space="preserve">Conto terzi  </t>
  </si>
  <si>
    <t xml:space="preserve">Tutte le voci  </t>
  </si>
  <si>
    <t xml:space="preserve">Classe di percorrenza: 51-100 km  </t>
  </si>
  <si>
    <t xml:space="preserve">Classe di percorrenza: 101-150 km  </t>
  </si>
  <si>
    <t xml:space="preserve">Classe di percorrenza: 151-200 km  </t>
  </si>
  <si>
    <t xml:space="preserve">Classe di percorrenza: 201-300 km  </t>
  </si>
  <si>
    <t xml:space="preserve">Classe di percorrenza: 301-400 km  </t>
  </si>
  <si>
    <t xml:space="preserve">Classe di percorrenza: 401-500 km  </t>
  </si>
  <si>
    <t xml:space="preserve">Classe di percorrenza: 501 km e più  </t>
  </si>
  <si>
    <t xml:space="preserve">Classe di percorrenza: Totale  </t>
  </si>
  <si>
    <t>tkm (migliaia)</t>
  </si>
  <si>
    <t>&lt;50km</t>
  </si>
  <si>
    <t>51-200km</t>
  </si>
  <si>
    <t>201-500km</t>
  </si>
  <si>
    <t>&gt;500km</t>
  </si>
  <si>
    <t>Nazionale</t>
  </si>
  <si>
    <t>medium-trucks</t>
  </si>
  <si>
    <t>heavy trucks</t>
  </si>
  <si>
    <t>Bvkm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</si>
</sst>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  <xf numFmtId="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3B74-2EB2-E54C-9ED3-4C8280749704}">
  <dimension ref="B4:E15"/>
  <sheetViews>
    <sheetView tabSelected="1" workbookViewId="0">
      <selection activeCell="E13" sqref="E13"/>
    </sheetView>
  </sheetViews>
  <sheetFormatPr baseColWidth="10" defaultRowHeight="15" x14ac:dyDescent="0.2"/>
  <cols>
    <col min="5" max="5" width="11.5" bestFit="1" customWidth="1"/>
  </cols>
  <sheetData>
    <row r="4" spans="2:5" x14ac:dyDescent="0.2">
      <c r="C4" t="s">
        <v>27</v>
      </c>
      <c r="E4">
        <f>(73935+23743)/(73935+23743+49220+50803)</f>
        <v>0.49406932691286337</v>
      </c>
    </row>
    <row r="5" spans="2:5" x14ac:dyDescent="0.2">
      <c r="C5" t="s">
        <v>32</v>
      </c>
      <c r="D5" t="s">
        <v>34</v>
      </c>
      <c r="E5" t="s">
        <v>33</v>
      </c>
    </row>
    <row r="6" spans="2:5" x14ac:dyDescent="0.2">
      <c r="B6" t="s">
        <v>28</v>
      </c>
      <c r="C6" s="9">
        <f>'A IT ALL KM_UN_50'!E14</f>
        <v>9136124</v>
      </c>
      <c r="D6" s="10">
        <v>0</v>
      </c>
      <c r="E6" s="10">
        <v>1</v>
      </c>
    </row>
    <row r="7" spans="2:5" x14ac:dyDescent="0.2">
      <c r="B7" t="s">
        <v>29</v>
      </c>
      <c r="C7" s="9">
        <f>'A IT ALL KM_51_100'!E14+'A IT ALL KM_101_150'!E14+'A IT ALL KM_151_200'!E14</f>
        <v>42296927</v>
      </c>
    </row>
    <row r="8" spans="2:5" x14ac:dyDescent="0.2">
      <c r="B8" t="s">
        <v>30</v>
      </c>
      <c r="C8" s="9">
        <f>'A IT ALL KM_201_300'!E14+'A IT ALL KM_301_400'!E14+'A IT ALL KM_401_500'!E14</f>
        <v>53631120</v>
      </c>
      <c r="D8" s="10">
        <v>1</v>
      </c>
    </row>
    <row r="9" spans="2:5" x14ac:dyDescent="0.2">
      <c r="B9" t="s">
        <v>31</v>
      </c>
      <c r="C9" s="9">
        <f>'A IT ALL KM_GE_500'!E14</f>
        <v>31076302</v>
      </c>
      <c r="D9" s="10">
        <v>1</v>
      </c>
    </row>
    <row r="11" spans="2:5" x14ac:dyDescent="0.2">
      <c r="C11" t="s">
        <v>35</v>
      </c>
      <c r="D11" t="s">
        <v>34</v>
      </c>
      <c r="E11" t="s">
        <v>33</v>
      </c>
    </row>
    <row r="12" spans="2:5" x14ac:dyDescent="0.2">
      <c r="B12" t="s">
        <v>28</v>
      </c>
      <c r="C12">
        <v>2.87</v>
      </c>
      <c r="D12" s="10">
        <v>0</v>
      </c>
      <c r="E12" s="10">
        <v>1</v>
      </c>
    </row>
    <row r="13" spans="2:5" x14ac:dyDescent="0.2">
      <c r="B13" t="s">
        <v>29</v>
      </c>
      <c r="C13">
        <v>5.32</v>
      </c>
      <c r="E13">
        <f>(73935+23743)/(73935+23743+49220+50803)</f>
        <v>0.49406932691286337</v>
      </c>
    </row>
    <row r="14" spans="2:5" x14ac:dyDescent="0.2">
      <c r="B14" t="s">
        <v>30</v>
      </c>
      <c r="C14">
        <v>6.55</v>
      </c>
      <c r="D14" s="10">
        <v>1</v>
      </c>
    </row>
    <row r="15" spans="2:5" x14ac:dyDescent="0.2">
      <c r="B15" t="s">
        <v>31</v>
      </c>
      <c r="C15">
        <v>5.74</v>
      </c>
      <c r="D15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A4" workbookViewId="0">
      <selection activeCell="C38" sqref="C38"/>
    </sheetView>
  </sheetViews>
  <sheetFormatPr baseColWidth="10" defaultColWidth="25" defaultRowHeight="15" x14ac:dyDescent="0.2"/>
  <cols>
    <col min="1" max="1" width="70.83203125" bestFit="1" customWidth="1"/>
  </cols>
  <sheetData>
    <row r="1" spans="1:5" x14ac:dyDescent="0.2">
      <c r="A1" s="5" t="s">
        <v>0</v>
      </c>
    </row>
    <row r="2" spans="1:5" x14ac:dyDescent="0.2">
      <c r="A2" s="4" t="s">
        <v>1</v>
      </c>
    </row>
    <row r="3" spans="1:5" x14ac:dyDescent="0.2">
      <c r="A3" s="4" t="s">
        <v>2</v>
      </c>
    </row>
    <row r="4" spans="1:5" x14ac:dyDescent="0.2">
      <c r="A4" s="4" t="s">
        <v>3</v>
      </c>
    </row>
    <row r="5" spans="1:5" x14ac:dyDescent="0.2">
      <c r="A5" s="4" t="s">
        <v>4</v>
      </c>
    </row>
    <row r="7" spans="1:5" x14ac:dyDescent="0.2">
      <c r="A7" s="6" t="s">
        <v>6</v>
      </c>
      <c r="B7" s="6" t="s">
        <v>5</v>
      </c>
      <c r="C7" s="7" t="s">
        <v>8</v>
      </c>
      <c r="D7" s="7" t="s">
        <v>8</v>
      </c>
      <c r="E7" s="7" t="s">
        <v>8</v>
      </c>
    </row>
    <row r="8" spans="1:5" ht="32" x14ac:dyDescent="0.2">
      <c r="A8" s="6" t="s">
        <v>7</v>
      </c>
      <c r="B8" s="6" t="s">
        <v>5</v>
      </c>
      <c r="C8" s="2" t="s">
        <v>9</v>
      </c>
      <c r="D8" s="2" t="s">
        <v>10</v>
      </c>
      <c r="E8" s="2" t="s">
        <v>11</v>
      </c>
    </row>
    <row r="9" spans="1:5" x14ac:dyDescent="0.2">
      <c r="A9" s="3" t="s">
        <v>12</v>
      </c>
      <c r="B9" s="3" t="s">
        <v>13</v>
      </c>
      <c r="C9" s="8" t="s">
        <v>5</v>
      </c>
      <c r="D9" s="8" t="s">
        <v>5</v>
      </c>
      <c r="E9" s="8" t="s">
        <v>5</v>
      </c>
    </row>
    <row r="10" spans="1:5" ht="16" x14ac:dyDescent="0.2">
      <c r="A10" s="7" t="s">
        <v>14</v>
      </c>
      <c r="B10" s="2" t="s">
        <v>15</v>
      </c>
      <c r="C10" s="1">
        <v>17.260000000000002</v>
      </c>
      <c r="D10" s="1">
        <v>105477239</v>
      </c>
      <c r="E10" s="1">
        <v>1820140</v>
      </c>
    </row>
    <row r="11" spans="1:5" ht="16" x14ac:dyDescent="0.2">
      <c r="A11" s="7" t="s">
        <v>14</v>
      </c>
      <c r="B11" s="2" t="s">
        <v>16</v>
      </c>
      <c r="C11" s="1">
        <v>33.1</v>
      </c>
      <c r="D11" s="1">
        <v>256923</v>
      </c>
      <c r="E11" s="1">
        <v>8503</v>
      </c>
    </row>
    <row r="12" spans="1:5" ht="16" x14ac:dyDescent="0.2">
      <c r="A12" s="7" t="s">
        <v>17</v>
      </c>
      <c r="B12" s="2" t="s">
        <v>15</v>
      </c>
      <c r="C12" s="1">
        <v>20.89</v>
      </c>
      <c r="D12" s="1">
        <v>350170415</v>
      </c>
      <c r="E12" s="1">
        <v>7315984</v>
      </c>
    </row>
    <row r="13" spans="1:5" ht="16" x14ac:dyDescent="0.2">
      <c r="A13" s="7" t="s">
        <v>17</v>
      </c>
      <c r="B13" s="2" t="s">
        <v>16</v>
      </c>
      <c r="C13" s="1">
        <v>28.47</v>
      </c>
      <c r="D13" s="1">
        <v>1552520</v>
      </c>
      <c r="E13" s="1">
        <v>44196</v>
      </c>
    </row>
    <row r="14" spans="1:5" ht="16" x14ac:dyDescent="0.2">
      <c r="A14" s="7" t="s">
        <v>18</v>
      </c>
      <c r="B14" s="2" t="s">
        <v>15</v>
      </c>
      <c r="C14" s="1">
        <v>20.05</v>
      </c>
      <c r="D14" s="1">
        <v>455647654</v>
      </c>
      <c r="E14" s="1">
        <v>9136124</v>
      </c>
    </row>
    <row r="15" spans="1:5" ht="16" x14ac:dyDescent="0.2">
      <c r="A15" s="7" t="s">
        <v>18</v>
      </c>
      <c r="B15" s="2" t="s">
        <v>16</v>
      </c>
      <c r="C15" s="1">
        <v>29.12</v>
      </c>
      <c r="D15" s="1">
        <v>1809442</v>
      </c>
      <c r="E15" s="1">
        <v>52700</v>
      </c>
    </row>
  </sheetData>
  <mergeCells count="7">
    <mergeCell ref="A12:A13"/>
    <mergeCell ref="A14:A15"/>
    <mergeCell ref="A7:B7"/>
    <mergeCell ref="A8:B8"/>
    <mergeCell ref="C7:E7"/>
    <mergeCell ref="C9:E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baseColWidth="10" defaultColWidth="25" defaultRowHeight="15" x14ac:dyDescent="0.2"/>
  <sheetData>
    <row r="1" spans="1:5" x14ac:dyDescent="0.2">
      <c r="A1" s="5" t="s">
        <v>0</v>
      </c>
    </row>
    <row r="2" spans="1:5" x14ac:dyDescent="0.2">
      <c r="A2" s="4" t="s">
        <v>1</v>
      </c>
    </row>
    <row r="3" spans="1:5" x14ac:dyDescent="0.2">
      <c r="A3" s="4" t="s">
        <v>2</v>
      </c>
    </row>
    <row r="4" spans="1:5" x14ac:dyDescent="0.2">
      <c r="A4" s="4" t="s">
        <v>3</v>
      </c>
    </row>
    <row r="5" spans="1:5" x14ac:dyDescent="0.2">
      <c r="A5" s="4" t="s">
        <v>19</v>
      </c>
    </row>
    <row r="7" spans="1:5" x14ac:dyDescent="0.2">
      <c r="A7" s="6" t="s">
        <v>6</v>
      </c>
      <c r="B7" s="6" t="s">
        <v>5</v>
      </c>
      <c r="C7" s="7" t="s">
        <v>8</v>
      </c>
      <c r="D7" s="7" t="s">
        <v>8</v>
      </c>
      <c r="E7" s="7" t="s">
        <v>8</v>
      </c>
    </row>
    <row r="8" spans="1:5" ht="32" x14ac:dyDescent="0.2">
      <c r="A8" s="6" t="s">
        <v>7</v>
      </c>
      <c r="B8" s="6" t="s">
        <v>5</v>
      </c>
      <c r="C8" s="2" t="s">
        <v>9</v>
      </c>
      <c r="D8" s="2" t="s">
        <v>10</v>
      </c>
      <c r="E8" s="2" t="s">
        <v>11</v>
      </c>
    </row>
    <row r="9" spans="1:5" x14ac:dyDescent="0.2">
      <c r="A9" s="3" t="s">
        <v>12</v>
      </c>
      <c r="B9" s="3" t="s">
        <v>13</v>
      </c>
      <c r="C9" s="8" t="s">
        <v>5</v>
      </c>
      <c r="D9" s="8" t="s">
        <v>5</v>
      </c>
      <c r="E9" s="8" t="s">
        <v>5</v>
      </c>
    </row>
    <row r="10" spans="1:5" ht="16" x14ac:dyDescent="0.2">
      <c r="A10" s="7" t="s">
        <v>14</v>
      </c>
      <c r="B10" s="2" t="s">
        <v>15</v>
      </c>
      <c r="C10" s="1">
        <v>68.150000000000006</v>
      </c>
      <c r="D10" s="1">
        <v>21598972</v>
      </c>
      <c r="E10" s="1">
        <v>1471928</v>
      </c>
    </row>
    <row r="11" spans="1:5" ht="16" x14ac:dyDescent="0.2">
      <c r="A11" s="7" t="s">
        <v>14</v>
      </c>
      <c r="B11" s="2" t="s">
        <v>16</v>
      </c>
      <c r="C11" s="1">
        <v>66.25</v>
      </c>
      <c r="D11" s="1">
        <v>71072</v>
      </c>
      <c r="E11" s="1">
        <v>4709</v>
      </c>
    </row>
    <row r="12" spans="1:5" ht="16" x14ac:dyDescent="0.2">
      <c r="A12" s="7" t="s">
        <v>17</v>
      </c>
      <c r="B12" s="2" t="s">
        <v>15</v>
      </c>
      <c r="C12" s="1">
        <v>69.75</v>
      </c>
      <c r="D12" s="1">
        <v>170261487</v>
      </c>
      <c r="E12" s="1">
        <v>11875125</v>
      </c>
    </row>
    <row r="13" spans="1:5" ht="16" x14ac:dyDescent="0.2">
      <c r="A13" s="7" t="s">
        <v>17</v>
      </c>
      <c r="B13" s="2" t="s">
        <v>16</v>
      </c>
      <c r="C13" s="1">
        <v>77.64</v>
      </c>
      <c r="D13" s="1">
        <v>834755</v>
      </c>
      <c r="E13" s="1">
        <v>64814</v>
      </c>
    </row>
    <row r="14" spans="1:5" ht="16" x14ac:dyDescent="0.2">
      <c r="A14" s="7" t="s">
        <v>18</v>
      </c>
      <c r="B14" s="2" t="s">
        <v>15</v>
      </c>
      <c r="C14" s="1">
        <v>69.569999999999993</v>
      </c>
      <c r="D14" s="1">
        <v>191860459</v>
      </c>
      <c r="E14" s="1">
        <v>13347054</v>
      </c>
    </row>
    <row r="15" spans="1:5" ht="16" x14ac:dyDescent="0.2">
      <c r="A15" s="7" t="s">
        <v>18</v>
      </c>
      <c r="B15" s="2" t="s">
        <v>16</v>
      </c>
      <c r="C15" s="1">
        <v>76.75</v>
      </c>
      <c r="D15" s="1">
        <v>905827</v>
      </c>
      <c r="E15" s="1">
        <v>69523</v>
      </c>
    </row>
  </sheetData>
  <mergeCells count="7">
    <mergeCell ref="A12:A13"/>
    <mergeCell ref="A14:A15"/>
    <mergeCell ref="A7:B7"/>
    <mergeCell ref="A8:B8"/>
    <mergeCell ref="C7:E7"/>
    <mergeCell ref="C9:E9"/>
    <mergeCell ref="A10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baseColWidth="10" defaultColWidth="25" defaultRowHeight="15" x14ac:dyDescent="0.2"/>
  <sheetData>
    <row r="1" spans="1:5" x14ac:dyDescent="0.2">
      <c r="A1" s="5" t="s">
        <v>0</v>
      </c>
    </row>
    <row r="2" spans="1:5" x14ac:dyDescent="0.2">
      <c r="A2" s="4" t="s">
        <v>1</v>
      </c>
    </row>
    <row r="3" spans="1:5" x14ac:dyDescent="0.2">
      <c r="A3" s="4" t="s">
        <v>2</v>
      </c>
    </row>
    <row r="4" spans="1:5" x14ac:dyDescent="0.2">
      <c r="A4" s="4" t="s">
        <v>3</v>
      </c>
    </row>
    <row r="5" spans="1:5" x14ac:dyDescent="0.2">
      <c r="A5" s="4" t="s">
        <v>20</v>
      </c>
    </row>
    <row r="7" spans="1:5" x14ac:dyDescent="0.2">
      <c r="A7" s="6" t="s">
        <v>6</v>
      </c>
      <c r="B7" s="6" t="s">
        <v>5</v>
      </c>
      <c r="C7" s="7" t="s">
        <v>8</v>
      </c>
      <c r="D7" s="7" t="s">
        <v>8</v>
      </c>
      <c r="E7" s="7" t="s">
        <v>8</v>
      </c>
    </row>
    <row r="8" spans="1:5" ht="32" x14ac:dyDescent="0.2">
      <c r="A8" s="6" t="s">
        <v>7</v>
      </c>
      <c r="B8" s="6" t="s">
        <v>5</v>
      </c>
      <c r="C8" s="2" t="s">
        <v>9</v>
      </c>
      <c r="D8" s="2" t="s">
        <v>10</v>
      </c>
      <c r="E8" s="2" t="s">
        <v>11</v>
      </c>
    </row>
    <row r="9" spans="1:5" x14ac:dyDescent="0.2">
      <c r="A9" s="3" t="s">
        <v>12</v>
      </c>
      <c r="B9" s="3" t="s">
        <v>13</v>
      </c>
      <c r="C9" s="8" t="s">
        <v>5</v>
      </c>
      <c r="D9" s="8" t="s">
        <v>5</v>
      </c>
      <c r="E9" s="8" t="s">
        <v>5</v>
      </c>
    </row>
    <row r="10" spans="1:5" ht="16" x14ac:dyDescent="0.2">
      <c r="A10" s="7" t="s">
        <v>14</v>
      </c>
      <c r="B10" s="2" t="s">
        <v>15</v>
      </c>
      <c r="C10" s="1">
        <v>115.18</v>
      </c>
      <c r="D10" s="1">
        <v>8566034</v>
      </c>
      <c r="E10" s="1">
        <v>986676</v>
      </c>
    </row>
    <row r="11" spans="1:5" ht="16" x14ac:dyDescent="0.2">
      <c r="A11" s="7" t="s">
        <v>14</v>
      </c>
      <c r="B11" s="2" t="s">
        <v>16</v>
      </c>
      <c r="C11" s="1">
        <v>119.26</v>
      </c>
      <c r="D11" s="1">
        <v>32416</v>
      </c>
      <c r="E11" s="1">
        <v>3866</v>
      </c>
    </row>
    <row r="12" spans="1:5" ht="16" x14ac:dyDescent="0.2">
      <c r="A12" s="7" t="s">
        <v>17</v>
      </c>
      <c r="B12" s="2" t="s">
        <v>15</v>
      </c>
      <c r="C12" s="1">
        <v>118.84</v>
      </c>
      <c r="D12" s="1">
        <v>112204841</v>
      </c>
      <c r="E12" s="1">
        <v>13334231</v>
      </c>
    </row>
    <row r="13" spans="1:5" ht="16" x14ac:dyDescent="0.2">
      <c r="A13" s="7" t="s">
        <v>17</v>
      </c>
      <c r="B13" s="2" t="s">
        <v>16</v>
      </c>
      <c r="C13" s="1">
        <v>129.18</v>
      </c>
      <c r="D13" s="1">
        <v>1150767</v>
      </c>
      <c r="E13" s="1">
        <v>148653</v>
      </c>
    </row>
    <row r="14" spans="1:5" ht="16" x14ac:dyDescent="0.2">
      <c r="A14" s="7" t="s">
        <v>18</v>
      </c>
      <c r="B14" s="2" t="s">
        <v>15</v>
      </c>
      <c r="C14" s="1">
        <v>118.58</v>
      </c>
      <c r="D14" s="1">
        <v>120770875</v>
      </c>
      <c r="E14" s="1">
        <v>14320908</v>
      </c>
    </row>
    <row r="15" spans="1:5" ht="16" x14ac:dyDescent="0.2">
      <c r="A15" s="7" t="s">
        <v>18</v>
      </c>
      <c r="B15" s="2" t="s">
        <v>16</v>
      </c>
      <c r="C15" s="1">
        <v>128.91</v>
      </c>
      <c r="D15" s="1">
        <v>1183183</v>
      </c>
      <c r="E15" s="1">
        <v>152518</v>
      </c>
    </row>
  </sheetData>
  <mergeCells count="7">
    <mergeCell ref="A12:A13"/>
    <mergeCell ref="A14:A15"/>
    <mergeCell ref="A7:B7"/>
    <mergeCell ref="A8:B8"/>
    <mergeCell ref="C7:E7"/>
    <mergeCell ref="C9:E9"/>
    <mergeCell ref="A10:A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baseColWidth="10" defaultColWidth="25" defaultRowHeight="15" x14ac:dyDescent="0.2"/>
  <sheetData>
    <row r="1" spans="1:5" x14ac:dyDescent="0.2">
      <c r="A1" s="5" t="s">
        <v>0</v>
      </c>
    </row>
    <row r="2" spans="1:5" x14ac:dyDescent="0.2">
      <c r="A2" s="4" t="s">
        <v>1</v>
      </c>
    </row>
    <row r="3" spans="1:5" x14ac:dyDescent="0.2">
      <c r="A3" s="4" t="s">
        <v>2</v>
      </c>
    </row>
    <row r="4" spans="1:5" x14ac:dyDescent="0.2">
      <c r="A4" s="4" t="s">
        <v>3</v>
      </c>
    </row>
    <row r="5" spans="1:5" x14ac:dyDescent="0.2">
      <c r="A5" s="4" t="s">
        <v>21</v>
      </c>
    </row>
    <row r="7" spans="1:5" x14ac:dyDescent="0.2">
      <c r="A7" s="6" t="s">
        <v>6</v>
      </c>
      <c r="B7" s="6" t="s">
        <v>5</v>
      </c>
      <c r="C7" s="7" t="s">
        <v>8</v>
      </c>
      <c r="D7" s="7" t="s">
        <v>8</v>
      </c>
      <c r="E7" s="7" t="s">
        <v>8</v>
      </c>
    </row>
    <row r="8" spans="1:5" ht="32" x14ac:dyDescent="0.2">
      <c r="A8" s="6" t="s">
        <v>7</v>
      </c>
      <c r="B8" s="6" t="s">
        <v>5</v>
      </c>
      <c r="C8" s="2" t="s">
        <v>9</v>
      </c>
      <c r="D8" s="2" t="s">
        <v>10</v>
      </c>
      <c r="E8" s="2" t="s">
        <v>11</v>
      </c>
    </row>
    <row r="9" spans="1:5" x14ac:dyDescent="0.2">
      <c r="A9" s="3" t="s">
        <v>12</v>
      </c>
      <c r="B9" s="3" t="s">
        <v>13</v>
      </c>
      <c r="C9" s="8" t="s">
        <v>5</v>
      </c>
      <c r="D9" s="8" t="s">
        <v>5</v>
      </c>
      <c r="E9" s="8" t="s">
        <v>5</v>
      </c>
    </row>
    <row r="10" spans="1:5" ht="16" x14ac:dyDescent="0.2">
      <c r="A10" s="7" t="s">
        <v>14</v>
      </c>
      <c r="B10" s="2" t="s">
        <v>15</v>
      </c>
      <c r="C10" s="1">
        <v>166.07</v>
      </c>
      <c r="D10" s="1">
        <v>4170612</v>
      </c>
      <c r="E10" s="1">
        <v>692625</v>
      </c>
    </row>
    <row r="11" spans="1:5" ht="16" x14ac:dyDescent="0.2">
      <c r="A11" s="7" t="s">
        <v>14</v>
      </c>
      <c r="B11" s="2" t="s">
        <v>16</v>
      </c>
      <c r="C11" s="1">
        <v>179.96</v>
      </c>
      <c r="D11" s="1">
        <v>44245</v>
      </c>
      <c r="E11" s="1">
        <v>7962</v>
      </c>
    </row>
    <row r="12" spans="1:5" ht="16" x14ac:dyDescent="0.2">
      <c r="A12" s="7" t="s">
        <v>17</v>
      </c>
      <c r="B12" s="2" t="s">
        <v>15</v>
      </c>
      <c r="C12" s="1">
        <v>168.69</v>
      </c>
      <c r="D12" s="1">
        <v>82616334</v>
      </c>
      <c r="E12" s="1">
        <v>13936340</v>
      </c>
    </row>
    <row r="13" spans="1:5" ht="16" x14ac:dyDescent="0.2">
      <c r="A13" s="7" t="s">
        <v>17</v>
      </c>
      <c r="B13" s="2" t="s">
        <v>16</v>
      </c>
      <c r="C13" s="1">
        <v>179.01</v>
      </c>
      <c r="D13" s="1">
        <v>919793</v>
      </c>
      <c r="E13" s="1">
        <v>164649</v>
      </c>
    </row>
    <row r="14" spans="1:5" ht="16" x14ac:dyDescent="0.2">
      <c r="A14" s="7" t="s">
        <v>18</v>
      </c>
      <c r="B14" s="2" t="s">
        <v>15</v>
      </c>
      <c r="C14" s="1">
        <v>168.56</v>
      </c>
      <c r="D14" s="1">
        <v>86786946</v>
      </c>
      <c r="E14" s="1">
        <v>14628965</v>
      </c>
    </row>
    <row r="15" spans="1:5" ht="16" x14ac:dyDescent="0.2">
      <c r="A15" s="7" t="s">
        <v>18</v>
      </c>
      <c r="B15" s="2" t="s">
        <v>16</v>
      </c>
      <c r="C15" s="1">
        <v>179.05</v>
      </c>
      <c r="D15" s="1">
        <v>964038</v>
      </c>
      <c r="E15" s="1">
        <v>172611</v>
      </c>
    </row>
  </sheetData>
  <mergeCells count="7">
    <mergeCell ref="A12:A13"/>
    <mergeCell ref="A14:A15"/>
    <mergeCell ref="A7:B7"/>
    <mergeCell ref="A8:B8"/>
    <mergeCell ref="C7:E7"/>
    <mergeCell ref="C9:E9"/>
    <mergeCell ref="A10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/>
  </sheetViews>
  <sheetFormatPr baseColWidth="10" defaultColWidth="25" defaultRowHeight="15" x14ac:dyDescent="0.2"/>
  <sheetData>
    <row r="1" spans="1:5" x14ac:dyDescent="0.2">
      <c r="A1" s="5" t="s">
        <v>0</v>
      </c>
    </row>
    <row r="2" spans="1:5" x14ac:dyDescent="0.2">
      <c r="A2" s="4" t="s">
        <v>1</v>
      </c>
    </row>
    <row r="3" spans="1:5" x14ac:dyDescent="0.2">
      <c r="A3" s="4" t="s">
        <v>2</v>
      </c>
    </row>
    <row r="4" spans="1:5" x14ac:dyDescent="0.2">
      <c r="A4" s="4" t="s">
        <v>3</v>
      </c>
    </row>
    <row r="5" spans="1:5" x14ac:dyDescent="0.2">
      <c r="A5" s="4" t="s">
        <v>22</v>
      </c>
    </row>
    <row r="7" spans="1:5" x14ac:dyDescent="0.2">
      <c r="A7" s="6" t="s">
        <v>6</v>
      </c>
      <c r="B7" s="6" t="s">
        <v>5</v>
      </c>
      <c r="C7" s="7" t="s">
        <v>8</v>
      </c>
      <c r="D7" s="7" t="s">
        <v>8</v>
      </c>
      <c r="E7" s="7" t="s">
        <v>8</v>
      </c>
    </row>
    <row r="8" spans="1:5" ht="32" x14ac:dyDescent="0.2">
      <c r="A8" s="6" t="s">
        <v>7</v>
      </c>
      <c r="B8" s="6" t="s">
        <v>5</v>
      </c>
      <c r="C8" s="2" t="s">
        <v>9</v>
      </c>
      <c r="D8" s="2" t="s">
        <v>10</v>
      </c>
      <c r="E8" s="2" t="s">
        <v>11</v>
      </c>
    </row>
    <row r="9" spans="1:5" x14ac:dyDescent="0.2">
      <c r="A9" s="3" t="s">
        <v>12</v>
      </c>
      <c r="B9" s="3" t="s">
        <v>13</v>
      </c>
      <c r="C9" s="8" t="s">
        <v>5</v>
      </c>
      <c r="D9" s="8" t="s">
        <v>5</v>
      </c>
      <c r="E9" s="8" t="s">
        <v>5</v>
      </c>
    </row>
    <row r="10" spans="1:5" ht="16" x14ac:dyDescent="0.2">
      <c r="A10" s="7" t="s">
        <v>14</v>
      </c>
      <c r="B10" s="2" t="s">
        <v>15</v>
      </c>
      <c r="C10" s="1">
        <v>230.42</v>
      </c>
      <c r="D10" s="1">
        <v>4417443</v>
      </c>
      <c r="E10" s="1">
        <v>1017868</v>
      </c>
    </row>
    <row r="11" spans="1:5" ht="16" x14ac:dyDescent="0.2">
      <c r="A11" s="7" t="s">
        <v>14</v>
      </c>
      <c r="B11" s="2" t="s">
        <v>16</v>
      </c>
      <c r="C11" s="1">
        <v>260.02999999999997</v>
      </c>
      <c r="D11" s="1">
        <v>63367</v>
      </c>
      <c r="E11" s="1">
        <v>16477</v>
      </c>
    </row>
    <row r="12" spans="1:5" ht="16" x14ac:dyDescent="0.2">
      <c r="A12" s="7" t="s">
        <v>17</v>
      </c>
      <c r="B12" s="2" t="s">
        <v>15</v>
      </c>
      <c r="C12" s="1">
        <v>238.44</v>
      </c>
      <c r="D12" s="1">
        <v>106693518</v>
      </c>
      <c r="E12" s="1">
        <v>25439491</v>
      </c>
    </row>
    <row r="13" spans="1:5" ht="16" x14ac:dyDescent="0.2">
      <c r="A13" s="7" t="s">
        <v>17</v>
      </c>
      <c r="B13" s="2" t="s">
        <v>16</v>
      </c>
      <c r="C13" s="1">
        <v>256.19</v>
      </c>
      <c r="D13" s="1">
        <v>2177344</v>
      </c>
      <c r="E13" s="1">
        <v>557821</v>
      </c>
    </row>
    <row r="14" spans="1:5" ht="16" x14ac:dyDescent="0.2">
      <c r="A14" s="7" t="s">
        <v>18</v>
      </c>
      <c r="B14" s="2" t="s">
        <v>15</v>
      </c>
      <c r="C14" s="1">
        <v>238.12</v>
      </c>
      <c r="D14" s="1">
        <v>111110960</v>
      </c>
      <c r="E14" s="1">
        <v>26457359</v>
      </c>
    </row>
    <row r="15" spans="1:5" ht="16" x14ac:dyDescent="0.2">
      <c r="A15" s="7" t="s">
        <v>18</v>
      </c>
      <c r="B15" s="2" t="s">
        <v>16</v>
      </c>
      <c r="C15" s="1">
        <v>256.3</v>
      </c>
      <c r="D15" s="1">
        <v>2240711</v>
      </c>
      <c r="E15" s="1">
        <v>574298</v>
      </c>
    </row>
  </sheetData>
  <mergeCells count="7">
    <mergeCell ref="A12:A13"/>
    <mergeCell ref="A14:A15"/>
    <mergeCell ref="A7:B7"/>
    <mergeCell ref="A8:B8"/>
    <mergeCell ref="C7:E7"/>
    <mergeCell ref="C9:E9"/>
    <mergeCell ref="A10: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baseColWidth="10" defaultColWidth="25" defaultRowHeight="15" x14ac:dyDescent="0.2"/>
  <sheetData>
    <row r="1" spans="1:5" x14ac:dyDescent="0.2">
      <c r="A1" s="5" t="s">
        <v>0</v>
      </c>
    </row>
    <row r="2" spans="1:5" x14ac:dyDescent="0.2">
      <c r="A2" s="4" t="s">
        <v>1</v>
      </c>
    </row>
    <row r="3" spans="1:5" x14ac:dyDescent="0.2">
      <c r="A3" s="4" t="s">
        <v>2</v>
      </c>
    </row>
    <row r="4" spans="1:5" x14ac:dyDescent="0.2">
      <c r="A4" s="4" t="s">
        <v>3</v>
      </c>
    </row>
    <row r="5" spans="1:5" x14ac:dyDescent="0.2">
      <c r="A5" s="4" t="s">
        <v>23</v>
      </c>
    </row>
    <row r="7" spans="1:5" x14ac:dyDescent="0.2">
      <c r="A7" s="6" t="s">
        <v>6</v>
      </c>
      <c r="B7" s="6" t="s">
        <v>5</v>
      </c>
      <c r="C7" s="7" t="s">
        <v>8</v>
      </c>
      <c r="D7" s="7" t="s">
        <v>8</v>
      </c>
      <c r="E7" s="7" t="s">
        <v>8</v>
      </c>
    </row>
    <row r="8" spans="1:5" ht="32" x14ac:dyDescent="0.2">
      <c r="A8" s="6" t="s">
        <v>7</v>
      </c>
      <c r="B8" s="6" t="s">
        <v>5</v>
      </c>
      <c r="C8" s="2" t="s">
        <v>9</v>
      </c>
      <c r="D8" s="2" t="s">
        <v>10</v>
      </c>
      <c r="E8" s="2" t="s">
        <v>11</v>
      </c>
    </row>
    <row r="9" spans="1:5" x14ac:dyDescent="0.2">
      <c r="A9" s="3" t="s">
        <v>12</v>
      </c>
      <c r="B9" s="3" t="s">
        <v>13</v>
      </c>
      <c r="C9" s="8" t="s">
        <v>5</v>
      </c>
      <c r="D9" s="8" t="s">
        <v>5</v>
      </c>
      <c r="E9" s="8" t="s">
        <v>5</v>
      </c>
    </row>
    <row r="10" spans="1:5" ht="16" x14ac:dyDescent="0.2">
      <c r="A10" s="7" t="s">
        <v>14</v>
      </c>
      <c r="B10" s="2" t="s">
        <v>15</v>
      </c>
      <c r="C10" s="1">
        <v>309.54000000000002</v>
      </c>
      <c r="D10" s="1">
        <v>1186147</v>
      </c>
      <c r="E10" s="1">
        <v>367163</v>
      </c>
    </row>
    <row r="11" spans="1:5" ht="16" x14ac:dyDescent="0.2">
      <c r="A11" s="7" t="s">
        <v>14</v>
      </c>
      <c r="B11" s="2" t="s">
        <v>16</v>
      </c>
      <c r="C11" s="1">
        <v>319.10000000000002</v>
      </c>
      <c r="D11" s="1">
        <v>14275</v>
      </c>
      <c r="E11" s="1">
        <v>4555</v>
      </c>
    </row>
    <row r="12" spans="1:5" ht="16" x14ac:dyDescent="0.2">
      <c r="A12" s="7" t="s">
        <v>17</v>
      </c>
      <c r="B12" s="2" t="s">
        <v>15</v>
      </c>
      <c r="C12" s="1">
        <v>337.91</v>
      </c>
      <c r="D12" s="1">
        <v>49722008</v>
      </c>
      <c r="E12" s="1">
        <v>16801630</v>
      </c>
    </row>
    <row r="13" spans="1:5" ht="16" x14ac:dyDescent="0.2">
      <c r="A13" s="7" t="s">
        <v>17</v>
      </c>
      <c r="B13" s="2" t="s">
        <v>16</v>
      </c>
      <c r="C13" s="1">
        <v>349.89</v>
      </c>
      <c r="D13" s="1">
        <v>2786577</v>
      </c>
      <c r="E13" s="1">
        <v>974984</v>
      </c>
    </row>
    <row r="14" spans="1:5" ht="16" x14ac:dyDescent="0.2">
      <c r="A14" s="7" t="s">
        <v>18</v>
      </c>
      <c r="B14" s="2" t="s">
        <v>15</v>
      </c>
      <c r="C14" s="1">
        <v>337.25</v>
      </c>
      <c r="D14" s="1">
        <v>50908155</v>
      </c>
      <c r="E14" s="1">
        <v>17168792</v>
      </c>
    </row>
    <row r="15" spans="1:5" ht="16" x14ac:dyDescent="0.2">
      <c r="A15" s="7" t="s">
        <v>18</v>
      </c>
      <c r="B15" s="2" t="s">
        <v>16</v>
      </c>
      <c r="C15" s="1">
        <v>349.73</v>
      </c>
      <c r="D15" s="1">
        <v>2800852</v>
      </c>
      <c r="E15" s="1">
        <v>979539</v>
      </c>
    </row>
  </sheetData>
  <mergeCells count="7">
    <mergeCell ref="A12:A13"/>
    <mergeCell ref="A14:A15"/>
    <mergeCell ref="A7:B7"/>
    <mergeCell ref="A8:B8"/>
    <mergeCell ref="C7:E7"/>
    <mergeCell ref="C9:E9"/>
    <mergeCell ref="A10:A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activeCell="E32" sqref="E32"/>
    </sheetView>
  </sheetViews>
  <sheetFormatPr baseColWidth="10" defaultColWidth="25" defaultRowHeight="15" x14ac:dyDescent="0.2"/>
  <sheetData>
    <row r="1" spans="1:5" x14ac:dyDescent="0.2">
      <c r="A1" s="5" t="s">
        <v>0</v>
      </c>
    </row>
    <row r="2" spans="1:5" x14ac:dyDescent="0.2">
      <c r="A2" s="4" t="s">
        <v>1</v>
      </c>
    </row>
    <row r="3" spans="1:5" x14ac:dyDescent="0.2">
      <c r="A3" s="4" t="s">
        <v>2</v>
      </c>
    </row>
    <row r="4" spans="1:5" x14ac:dyDescent="0.2">
      <c r="A4" s="4" t="s">
        <v>3</v>
      </c>
    </row>
    <row r="5" spans="1:5" x14ac:dyDescent="0.2">
      <c r="A5" s="4" t="s">
        <v>24</v>
      </c>
    </row>
    <row r="7" spans="1:5" x14ac:dyDescent="0.2">
      <c r="A7" s="6" t="s">
        <v>6</v>
      </c>
      <c r="B7" s="6" t="s">
        <v>5</v>
      </c>
      <c r="C7" s="7" t="s">
        <v>8</v>
      </c>
      <c r="D7" s="7" t="s">
        <v>8</v>
      </c>
      <c r="E7" s="7" t="s">
        <v>8</v>
      </c>
    </row>
    <row r="8" spans="1:5" ht="32" x14ac:dyDescent="0.2">
      <c r="A8" s="6" t="s">
        <v>7</v>
      </c>
      <c r="B8" s="6" t="s">
        <v>5</v>
      </c>
      <c r="C8" s="2" t="s">
        <v>9</v>
      </c>
      <c r="D8" s="2" t="s">
        <v>10</v>
      </c>
      <c r="E8" s="2" t="s">
        <v>11</v>
      </c>
    </row>
    <row r="9" spans="1:5" x14ac:dyDescent="0.2">
      <c r="A9" s="3" t="s">
        <v>12</v>
      </c>
      <c r="B9" s="3" t="s">
        <v>13</v>
      </c>
      <c r="C9" s="8" t="s">
        <v>5</v>
      </c>
      <c r="D9" s="8" t="s">
        <v>5</v>
      </c>
      <c r="E9" s="8" t="s">
        <v>5</v>
      </c>
    </row>
    <row r="10" spans="1:5" ht="16" x14ac:dyDescent="0.2">
      <c r="A10" s="7" t="s">
        <v>14</v>
      </c>
      <c r="B10" s="2" t="s">
        <v>15</v>
      </c>
      <c r="C10" s="1">
        <v>425.02</v>
      </c>
      <c r="D10" s="1">
        <v>514073</v>
      </c>
      <c r="E10" s="1">
        <v>218490</v>
      </c>
    </row>
    <row r="11" spans="1:5" ht="16" x14ac:dyDescent="0.2">
      <c r="A11" s="7" t="s">
        <v>14</v>
      </c>
      <c r="B11" s="2" t="s">
        <v>16</v>
      </c>
      <c r="C11" s="1">
        <v>449.56</v>
      </c>
      <c r="D11" s="1">
        <v>1719</v>
      </c>
      <c r="E11" s="1">
        <v>773</v>
      </c>
    </row>
    <row r="12" spans="1:5" ht="16" x14ac:dyDescent="0.2">
      <c r="A12" s="7" t="s">
        <v>17</v>
      </c>
      <c r="B12" s="2" t="s">
        <v>15</v>
      </c>
      <c r="C12" s="1">
        <v>437.81</v>
      </c>
      <c r="D12" s="1">
        <v>22353509</v>
      </c>
      <c r="E12" s="1">
        <v>9786479</v>
      </c>
    </row>
    <row r="13" spans="1:5" ht="16" x14ac:dyDescent="0.2">
      <c r="A13" s="7" t="s">
        <v>17</v>
      </c>
      <c r="B13" s="2" t="s">
        <v>16</v>
      </c>
      <c r="C13" s="1">
        <v>451.68</v>
      </c>
      <c r="D13" s="1">
        <v>2569564</v>
      </c>
      <c r="E13" s="1">
        <v>1160611</v>
      </c>
    </row>
    <row r="14" spans="1:5" ht="16" x14ac:dyDescent="0.2">
      <c r="A14" s="7" t="s">
        <v>18</v>
      </c>
      <c r="B14" s="2" t="s">
        <v>15</v>
      </c>
      <c r="C14" s="1">
        <v>437.52</v>
      </c>
      <c r="D14" s="1">
        <v>22867582</v>
      </c>
      <c r="E14" s="1">
        <v>10004969</v>
      </c>
    </row>
    <row r="15" spans="1:5" ht="16" x14ac:dyDescent="0.2">
      <c r="A15" s="7" t="s">
        <v>18</v>
      </c>
      <c r="B15" s="2" t="s">
        <v>16</v>
      </c>
      <c r="C15" s="1">
        <v>451.68</v>
      </c>
      <c r="D15" s="1">
        <v>2571282</v>
      </c>
      <c r="E15" s="1">
        <v>1161384</v>
      </c>
    </row>
  </sheetData>
  <mergeCells count="7">
    <mergeCell ref="A12:A13"/>
    <mergeCell ref="A14:A15"/>
    <mergeCell ref="A7:B7"/>
    <mergeCell ref="A8:B8"/>
    <mergeCell ref="C7:E7"/>
    <mergeCell ref="C9:E9"/>
    <mergeCell ref="A10:A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/>
  </sheetViews>
  <sheetFormatPr baseColWidth="10" defaultColWidth="25" defaultRowHeight="15" x14ac:dyDescent="0.2"/>
  <sheetData>
    <row r="1" spans="1:5" x14ac:dyDescent="0.2">
      <c r="A1" s="5" t="s">
        <v>0</v>
      </c>
    </row>
    <row r="2" spans="1:5" x14ac:dyDescent="0.2">
      <c r="A2" s="4" t="s">
        <v>1</v>
      </c>
    </row>
    <row r="3" spans="1:5" x14ac:dyDescent="0.2">
      <c r="A3" s="4" t="s">
        <v>2</v>
      </c>
    </row>
    <row r="4" spans="1:5" x14ac:dyDescent="0.2">
      <c r="A4" s="4" t="s">
        <v>3</v>
      </c>
    </row>
    <row r="5" spans="1:5" x14ac:dyDescent="0.2">
      <c r="A5" s="4" t="s">
        <v>25</v>
      </c>
    </row>
    <row r="7" spans="1:5" x14ac:dyDescent="0.2">
      <c r="A7" s="6" t="s">
        <v>6</v>
      </c>
      <c r="B7" s="6" t="s">
        <v>5</v>
      </c>
      <c r="C7" s="7" t="s">
        <v>8</v>
      </c>
      <c r="D7" s="7" t="s">
        <v>8</v>
      </c>
      <c r="E7" s="7" t="s">
        <v>8</v>
      </c>
    </row>
    <row r="8" spans="1:5" ht="32" x14ac:dyDescent="0.2">
      <c r="A8" s="6" t="s">
        <v>7</v>
      </c>
      <c r="B8" s="6" t="s">
        <v>5</v>
      </c>
      <c r="C8" s="2" t="s">
        <v>9</v>
      </c>
      <c r="D8" s="2" t="s">
        <v>10</v>
      </c>
      <c r="E8" s="2" t="s">
        <v>11</v>
      </c>
    </row>
    <row r="9" spans="1:5" x14ac:dyDescent="0.2">
      <c r="A9" s="3" t="s">
        <v>12</v>
      </c>
      <c r="B9" s="3" t="s">
        <v>13</v>
      </c>
      <c r="C9" s="8" t="s">
        <v>5</v>
      </c>
      <c r="D9" s="8" t="s">
        <v>5</v>
      </c>
      <c r="E9" s="8" t="s">
        <v>5</v>
      </c>
    </row>
    <row r="10" spans="1:5" ht="16" x14ac:dyDescent="0.2">
      <c r="A10" s="7" t="s">
        <v>14</v>
      </c>
      <c r="B10" s="2" t="s">
        <v>15</v>
      </c>
      <c r="C10" s="1">
        <v>662.06</v>
      </c>
      <c r="D10" s="1">
        <v>468881</v>
      </c>
      <c r="E10" s="1">
        <v>310425</v>
      </c>
    </row>
    <row r="11" spans="1:5" ht="16" x14ac:dyDescent="0.2">
      <c r="A11" s="7" t="s">
        <v>14</v>
      </c>
      <c r="B11" s="2" t="s">
        <v>16</v>
      </c>
      <c r="C11" s="1">
        <v>1056.57</v>
      </c>
      <c r="D11" s="1">
        <v>71202</v>
      </c>
      <c r="E11" s="1">
        <v>75230</v>
      </c>
    </row>
    <row r="12" spans="1:5" ht="16" x14ac:dyDescent="0.2">
      <c r="A12" s="7" t="s">
        <v>17</v>
      </c>
      <c r="B12" s="2" t="s">
        <v>15</v>
      </c>
      <c r="C12" s="1">
        <v>701.97</v>
      </c>
      <c r="D12" s="1">
        <v>43827902</v>
      </c>
      <c r="E12" s="1">
        <v>30765876</v>
      </c>
    </row>
    <row r="13" spans="1:5" ht="16" x14ac:dyDescent="0.2">
      <c r="A13" s="7" t="s">
        <v>17</v>
      </c>
      <c r="B13" s="2" t="s">
        <v>16</v>
      </c>
      <c r="C13" s="1">
        <v>971.07</v>
      </c>
      <c r="D13" s="1">
        <v>13696177</v>
      </c>
      <c r="E13" s="1">
        <v>13299893</v>
      </c>
    </row>
    <row r="14" spans="1:5" ht="16" x14ac:dyDescent="0.2">
      <c r="A14" s="7" t="s">
        <v>18</v>
      </c>
      <c r="B14" s="2" t="s">
        <v>15</v>
      </c>
      <c r="C14" s="1">
        <v>701.55</v>
      </c>
      <c r="D14" s="1">
        <v>44296783</v>
      </c>
      <c r="E14" s="1">
        <v>31076302</v>
      </c>
    </row>
    <row r="15" spans="1:5" ht="16" x14ac:dyDescent="0.2">
      <c r="A15" s="7" t="s">
        <v>18</v>
      </c>
      <c r="B15" s="2" t="s">
        <v>16</v>
      </c>
      <c r="C15" s="1">
        <v>971.51</v>
      </c>
      <c r="D15" s="1">
        <v>13767379</v>
      </c>
      <c r="E15" s="1">
        <v>13375123</v>
      </c>
    </row>
  </sheetData>
  <mergeCells count="7">
    <mergeCell ref="A12:A13"/>
    <mergeCell ref="A14:A15"/>
    <mergeCell ref="A7:B7"/>
    <mergeCell ref="A8:B8"/>
    <mergeCell ref="C7:E7"/>
    <mergeCell ref="C9:E9"/>
    <mergeCell ref="A10:A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/>
  </sheetViews>
  <sheetFormatPr baseColWidth="10" defaultColWidth="25" defaultRowHeight="15" x14ac:dyDescent="0.2"/>
  <sheetData>
    <row r="1" spans="1:5" x14ac:dyDescent="0.2">
      <c r="A1" s="5" t="s">
        <v>0</v>
      </c>
    </row>
    <row r="2" spans="1:5" x14ac:dyDescent="0.2">
      <c r="A2" s="4" t="s">
        <v>1</v>
      </c>
    </row>
    <row r="3" spans="1:5" x14ac:dyDescent="0.2">
      <c r="A3" s="4" t="s">
        <v>2</v>
      </c>
    </row>
    <row r="4" spans="1:5" x14ac:dyDescent="0.2">
      <c r="A4" s="4" t="s">
        <v>3</v>
      </c>
    </row>
    <row r="5" spans="1:5" x14ac:dyDescent="0.2">
      <c r="A5" s="4" t="s">
        <v>26</v>
      </c>
    </row>
    <row r="7" spans="1:5" x14ac:dyDescent="0.2">
      <c r="A7" s="6" t="s">
        <v>6</v>
      </c>
      <c r="B7" s="6" t="s">
        <v>5</v>
      </c>
      <c r="C7" s="7" t="s">
        <v>8</v>
      </c>
      <c r="D7" s="7" t="s">
        <v>8</v>
      </c>
      <c r="E7" s="7" t="s">
        <v>8</v>
      </c>
    </row>
    <row r="8" spans="1:5" ht="32" x14ac:dyDescent="0.2">
      <c r="A8" s="6" t="s">
        <v>7</v>
      </c>
      <c r="B8" s="6" t="s">
        <v>5</v>
      </c>
      <c r="C8" s="2" t="s">
        <v>9</v>
      </c>
      <c r="D8" s="2" t="s">
        <v>10</v>
      </c>
      <c r="E8" s="2" t="s">
        <v>11</v>
      </c>
    </row>
    <row r="9" spans="1:5" x14ac:dyDescent="0.2">
      <c r="A9" s="3" t="s">
        <v>12</v>
      </c>
      <c r="B9" s="3" t="s">
        <v>13</v>
      </c>
      <c r="C9" s="8" t="s">
        <v>5</v>
      </c>
      <c r="D9" s="8" t="s">
        <v>5</v>
      </c>
      <c r="E9" s="8" t="s">
        <v>5</v>
      </c>
    </row>
    <row r="10" spans="1:5" ht="16" x14ac:dyDescent="0.2">
      <c r="A10" s="7" t="s">
        <v>14</v>
      </c>
      <c r="B10" s="2" t="s">
        <v>15</v>
      </c>
      <c r="C10" s="1">
        <v>47.03</v>
      </c>
      <c r="D10" s="1">
        <v>146399400</v>
      </c>
      <c r="E10" s="1">
        <v>6885316</v>
      </c>
    </row>
    <row r="11" spans="1:5" ht="16" x14ac:dyDescent="0.2">
      <c r="A11" s="7" t="s">
        <v>14</v>
      </c>
      <c r="B11" s="2" t="s">
        <v>16</v>
      </c>
      <c r="C11" s="1">
        <v>219.87</v>
      </c>
      <c r="D11" s="1">
        <v>555218</v>
      </c>
      <c r="E11" s="1">
        <v>122074</v>
      </c>
    </row>
    <row r="12" spans="1:5" ht="16" x14ac:dyDescent="0.2">
      <c r="A12" s="7" t="s">
        <v>17</v>
      </c>
      <c r="B12" s="2" t="s">
        <v>15</v>
      </c>
      <c r="C12" s="1">
        <v>137.82</v>
      </c>
      <c r="D12" s="1">
        <v>937850014</v>
      </c>
      <c r="E12" s="1">
        <v>129255157</v>
      </c>
    </row>
    <row r="13" spans="1:5" ht="16" x14ac:dyDescent="0.2">
      <c r="A13" s="7" t="s">
        <v>17</v>
      </c>
      <c r="B13" s="2" t="s">
        <v>16</v>
      </c>
      <c r="C13" s="1">
        <v>639.04999999999995</v>
      </c>
      <c r="D13" s="1">
        <v>25687496</v>
      </c>
      <c r="E13" s="1">
        <v>16415622</v>
      </c>
    </row>
    <row r="14" spans="1:5" ht="16" x14ac:dyDescent="0.2">
      <c r="A14" s="7" t="s">
        <v>18</v>
      </c>
      <c r="B14" s="2" t="s">
        <v>15</v>
      </c>
      <c r="C14" s="1">
        <v>125.56</v>
      </c>
      <c r="D14" s="1">
        <v>1084249414</v>
      </c>
      <c r="E14" s="1">
        <v>136140473</v>
      </c>
    </row>
    <row r="15" spans="1:5" ht="16" x14ac:dyDescent="0.2">
      <c r="A15" s="7" t="s">
        <v>18</v>
      </c>
      <c r="B15" s="2" t="s">
        <v>16</v>
      </c>
      <c r="C15" s="1">
        <v>630.17999999999995</v>
      </c>
      <c r="D15" s="1">
        <v>26242715</v>
      </c>
      <c r="E15" s="1">
        <v>16537696</v>
      </c>
    </row>
  </sheetData>
  <mergeCells count="7">
    <mergeCell ref="A12:A13"/>
    <mergeCell ref="A14:A15"/>
    <mergeCell ref="A7:B7"/>
    <mergeCell ref="A8:B8"/>
    <mergeCell ref="C7:E7"/>
    <mergeCell ref="C9:E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Foglio2</vt:lpstr>
      <vt:lpstr>A IT ALL KM_UN_50</vt:lpstr>
      <vt:lpstr>A IT ALL KM_51_100</vt:lpstr>
      <vt:lpstr>A IT ALL KM_101_150</vt:lpstr>
      <vt:lpstr>A IT ALL KM_151_200</vt:lpstr>
      <vt:lpstr>A IT ALL KM_201_300</vt:lpstr>
      <vt:lpstr>A IT ALL KM_301_400</vt:lpstr>
      <vt:lpstr>A IT ALL KM_401_500</vt:lpstr>
      <vt:lpstr>A IT ALL KM_GE_500</vt:lpstr>
      <vt:lpstr>A IT ALL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Cinquini  Filippo</cp:lastModifiedBy>
  <dcterms:created xsi:type="dcterms:W3CDTF">2026-04-13T15:07:52Z</dcterms:created>
  <dcterms:modified xsi:type="dcterms:W3CDTF">2026-04-13T20:46:30Z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